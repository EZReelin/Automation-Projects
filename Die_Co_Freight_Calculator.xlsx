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ata Entry" sheetId="1" state="visible" r:id="rId1"/>
    <sheet name="Freight Calculator" sheetId="2" state="visible" r:id="rId2"/>
    <sheet name="ERP Upload" sheetId="3" state="visible" r:id="rId3"/>
  </sheets>
  <definedNames>
    <definedName name="TotalFreight">'Import Data Entry'!$B$18</definedName>
    <definedName name="EntryNumber">'Import Data Entry'!$B$3</definedName>
    <definedName name="ValidationStatus">'Import Data Entry'!$B$73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&quot;$&quot;#,##0.00"/>
    <numFmt numFmtId="166" formatCode="0.000"/>
    <numFmt numFmtId="167" formatCode="&quot;$&quot;0.000000"/>
    <numFmt numFmtId="168" formatCode="0.0000"/>
    <numFmt numFmtId="169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0" fontId="2" fillId="0" borderId="0" pivotButton="0" quotePrefix="0" xfId="0"/>
    <xf numFmtId="0" fontId="0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8" customWidth="1" min="4" max="4"/>
    <col width="12" customWidth="1" min="5" max="5"/>
    <col width="16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DIE CO., INC. - IMPORT FREIGHT CALCULATOR</t>
        </is>
      </c>
    </row>
    <row r="2">
      <c r="A2" s="2" t="inlineStr">
        <is>
          <t>Entry Summary Data</t>
        </is>
      </c>
    </row>
    <row r="3">
      <c r="A3" t="inlineStr">
        <is>
          <t>Entry #:</t>
        </is>
      </c>
      <c r="B3" t="inlineStr">
        <is>
          <t>2026-001-ABC</t>
        </is>
      </c>
    </row>
    <row r="4">
      <c r="A4" t="inlineStr">
        <is>
          <t>Entry Date:</t>
        </is>
      </c>
      <c r="B4" s="3" t="n">
        <v>46028</v>
      </c>
    </row>
    <row r="5">
      <c r="A5" t="inlineStr">
        <is>
          <t>Vessel:</t>
        </is>
      </c>
      <c r="B5" t="inlineStr">
        <is>
          <t>MV PACIFIC TRADER</t>
        </is>
      </c>
    </row>
    <row r="6">
      <c r="A6" t="inlineStr">
        <is>
          <t>Invoice #:</t>
        </is>
      </c>
      <c r="B6" t="inlineStr">
        <is>
          <t>INV-2026-001</t>
        </is>
      </c>
    </row>
    <row r="8">
      <c r="A8" t="inlineStr">
        <is>
          <t>Total Duty (Box 37):</t>
        </is>
      </c>
      <c r="B8" s="4" t="n">
        <v>5000</v>
      </c>
      <c r="C8" t="inlineStr">
        <is>
          <t>From CBP Entry Summary</t>
        </is>
      </c>
    </row>
    <row r="9">
      <c r="A9" t="inlineStr">
        <is>
          <t>Customs Entry Fee:</t>
        </is>
      </c>
      <c r="B9" s="4" t="n">
        <v>250</v>
      </c>
    </row>
    <row r="10">
      <c r="A10" t="inlineStr">
        <is>
          <t>ISF - Security Filing:</t>
        </is>
      </c>
      <c r="B10" s="4" t="n">
        <v>150</v>
      </c>
    </row>
    <row r="11">
      <c r="A11" t="inlineStr">
        <is>
          <t>Ocean Freight:</t>
        </is>
      </c>
      <c r="B11" s="4" t="n">
        <v>8500</v>
      </c>
    </row>
    <row r="12">
      <c r="A12" t="inlineStr">
        <is>
          <t>Terminal Handling/Services:</t>
        </is>
      </c>
      <c r="B12" s="4" t="n">
        <v>1200</v>
      </c>
    </row>
    <row r="13">
      <c r="A13" t="inlineStr">
        <is>
          <t>Cartage &amp; Services:</t>
        </is>
      </c>
      <c r="B13" s="4" t="n">
        <v>850</v>
      </c>
    </row>
    <row r="14">
      <c r="A14" t="inlineStr">
        <is>
          <t>Other Fees:</t>
        </is>
      </c>
      <c r="B14" s="4" t="n">
        <v>300</v>
      </c>
    </row>
    <row r="16">
      <c r="A16" t="inlineStr">
        <is>
          <t>Total Freight Invoice:</t>
        </is>
      </c>
      <c r="B16" s="5">
        <f>SUM(B9:B14)</f>
        <v/>
      </c>
      <c r="C16" t="inlineStr">
        <is>
          <t>From Freight Expediters Invoice</t>
        </is>
      </c>
    </row>
    <row r="18">
      <c r="A18" t="inlineStr">
        <is>
          <t>FREIGHT DIFFERENTIAL TO ALLOCATE:</t>
        </is>
      </c>
      <c r="B18" s="6">
        <f>B16-B8</f>
        <v/>
      </c>
      <c r="C18" t="inlineStr">
        <is>
          <t>Amount to distribute across parts</t>
        </is>
      </c>
    </row>
    <row r="20">
      <c r="A20" s="7" t="inlineStr">
        <is>
          <t>Part #</t>
        </is>
      </c>
      <c r="B20" s="7" t="inlineStr">
        <is>
          <t>Description</t>
        </is>
      </c>
      <c r="C20" s="7" t="inlineStr">
        <is>
          <t>Quantity</t>
        </is>
      </c>
      <c r="D20" s="7" t="inlineStr">
        <is>
          <t>Net Weight (KG)</t>
        </is>
      </c>
      <c r="E20" s="7" t="inlineStr">
        <is>
          <t># of Skids</t>
        </is>
      </c>
      <c r="F20" s="7" t="inlineStr">
        <is>
          <t>Weight per Skid</t>
        </is>
      </c>
      <c r="G20" s="7" t="inlineStr">
        <is>
          <t>Total Part Weight</t>
        </is>
      </c>
      <c r="H20" s="7" t="inlineStr">
        <is>
          <t>Weight %</t>
        </is>
      </c>
      <c r="I20" s="7" t="inlineStr">
        <is>
          <t>Allocated Freight</t>
        </is>
      </c>
    </row>
    <row r="21">
      <c r="A21" t="inlineStr">
        <is>
          <t>PN-12345</t>
        </is>
      </c>
      <c r="B21" t="inlineStr">
        <is>
          <t>Widget Assembly Type A</t>
        </is>
      </c>
      <c r="C21" s="8" t="n">
        <v>5000</v>
      </c>
      <c r="D21" s="9" t="n">
        <v>2.5</v>
      </c>
      <c r="E21" s="8" t="n">
        <v>10</v>
      </c>
      <c r="F21" s="9">
        <f>IF(E21&gt;0, D21*C21/E21, 0)</f>
        <v/>
      </c>
      <c r="G21" s="9">
        <f>C21*D21</f>
        <v/>
      </c>
      <c r="H21" s="10">
        <f>IF($G$71&gt;0, G21/$G$71, 0)</f>
        <v/>
      </c>
      <c r="I21" s="4">
        <f>H21*$B$18</f>
        <v/>
      </c>
    </row>
    <row r="22">
      <c r="A22" t="inlineStr">
        <is>
          <t>PN-67890</t>
        </is>
      </c>
      <c r="B22" t="inlineStr">
        <is>
          <t>Widget Assembly Type B</t>
        </is>
      </c>
      <c r="C22" s="8" t="n">
        <v>3000</v>
      </c>
      <c r="D22" s="9" t="n">
        <v>3.2</v>
      </c>
      <c r="E22" s="8" t="n">
        <v>8</v>
      </c>
      <c r="F22" s="9">
        <f>IF(E22&gt;0, D22*C22/E22, 0)</f>
        <v/>
      </c>
      <c r="G22" s="9">
        <f>C22*D22</f>
        <v/>
      </c>
      <c r="H22" s="10">
        <f>IF($G$71&gt;0, G22/$G$71, 0)</f>
        <v/>
      </c>
      <c r="I22" s="4">
        <f>H22*$B$18</f>
        <v/>
      </c>
    </row>
    <row r="23">
      <c r="A23" t="inlineStr">
        <is>
          <t>PN-24680</t>
        </is>
      </c>
      <c r="B23" t="inlineStr">
        <is>
          <t>Widget Assembly Type C</t>
        </is>
      </c>
      <c r="C23" s="8" t="n">
        <v>7500</v>
      </c>
      <c r="D23" s="9" t="n">
        <v>1.8</v>
      </c>
      <c r="E23" s="8" t="n">
        <v>15</v>
      </c>
      <c r="F23" s="9">
        <f>IF(E23&gt;0, D23*C23/E23, 0)</f>
        <v/>
      </c>
      <c r="G23" s="9">
        <f>C23*D23</f>
        <v/>
      </c>
      <c r="H23" s="10">
        <f>IF($G$71&gt;0, G23/$G$71, 0)</f>
        <v/>
      </c>
      <c r="I23" s="4">
        <f>H23*$B$18</f>
        <v/>
      </c>
    </row>
    <row r="24">
      <c r="C24" s="8" t="n"/>
      <c r="D24" s="9" t="n"/>
      <c r="E24" s="8" t="n"/>
      <c r="F24" s="9">
        <f>IF(E24&gt;0, D24*C24/E24, 0)</f>
        <v/>
      </c>
      <c r="G24" s="9">
        <f>C24*D24</f>
        <v/>
      </c>
      <c r="H24" s="10">
        <f>IF($G$71&gt;0, G24/$G$71, 0)</f>
        <v/>
      </c>
      <c r="I24" s="4">
        <f>H24*$B$18</f>
        <v/>
      </c>
    </row>
    <row r="25">
      <c r="C25" s="8" t="n"/>
      <c r="D25" s="9" t="n"/>
      <c r="E25" s="8" t="n"/>
      <c r="F25" s="9">
        <f>IF(E25&gt;0, D25*C25/E25, 0)</f>
        <v/>
      </c>
      <c r="G25" s="9">
        <f>C25*D25</f>
        <v/>
      </c>
      <c r="H25" s="10">
        <f>IF($G$71&gt;0, G25/$G$71, 0)</f>
        <v/>
      </c>
      <c r="I25" s="4">
        <f>H25*$B$18</f>
        <v/>
      </c>
    </row>
    <row r="26">
      <c r="C26" s="8" t="n"/>
      <c r="D26" s="9" t="n"/>
      <c r="E26" s="8" t="n"/>
      <c r="F26" s="9">
        <f>IF(E26&gt;0, D26*C26/E26, 0)</f>
        <v/>
      </c>
      <c r="G26" s="9">
        <f>C26*D26</f>
        <v/>
      </c>
      <c r="H26" s="10">
        <f>IF($G$71&gt;0, G26/$G$71, 0)</f>
        <v/>
      </c>
      <c r="I26" s="4">
        <f>H26*$B$18</f>
        <v/>
      </c>
    </row>
    <row r="27">
      <c r="C27" s="8" t="n"/>
      <c r="D27" s="9" t="n"/>
      <c r="E27" s="8" t="n"/>
      <c r="F27" s="9">
        <f>IF(E27&gt;0, D27*C27/E27, 0)</f>
        <v/>
      </c>
      <c r="G27" s="9">
        <f>C27*D27</f>
        <v/>
      </c>
      <c r="H27" s="10">
        <f>IF($G$71&gt;0, G27/$G$71, 0)</f>
        <v/>
      </c>
      <c r="I27" s="4">
        <f>H27*$B$18</f>
        <v/>
      </c>
    </row>
    <row r="28">
      <c r="C28" s="8" t="n"/>
      <c r="D28" s="9" t="n"/>
      <c r="E28" s="8" t="n"/>
      <c r="F28" s="9">
        <f>IF(E28&gt;0, D28*C28/E28, 0)</f>
        <v/>
      </c>
      <c r="G28" s="9">
        <f>C28*D28</f>
        <v/>
      </c>
      <c r="H28" s="10">
        <f>IF($G$71&gt;0, G28/$G$71, 0)</f>
        <v/>
      </c>
      <c r="I28" s="4">
        <f>H28*$B$18</f>
        <v/>
      </c>
    </row>
    <row r="29">
      <c r="C29" s="8" t="n"/>
      <c r="D29" s="9" t="n"/>
      <c r="E29" s="8" t="n"/>
      <c r="F29" s="9">
        <f>IF(E29&gt;0, D29*C29/E29, 0)</f>
        <v/>
      </c>
      <c r="G29" s="9">
        <f>C29*D29</f>
        <v/>
      </c>
      <c r="H29" s="10">
        <f>IF($G$71&gt;0, G29/$G$71, 0)</f>
        <v/>
      </c>
      <c r="I29" s="4">
        <f>H29*$B$18</f>
        <v/>
      </c>
    </row>
    <row r="30">
      <c r="C30" s="8" t="n"/>
      <c r="D30" s="9" t="n"/>
      <c r="E30" s="8" t="n"/>
      <c r="F30" s="9">
        <f>IF(E30&gt;0, D30*C30/E30, 0)</f>
        <v/>
      </c>
      <c r="G30" s="9">
        <f>C30*D30</f>
        <v/>
      </c>
      <c r="H30" s="10">
        <f>IF($G$71&gt;0, G30/$G$71, 0)</f>
        <v/>
      </c>
      <c r="I30" s="4">
        <f>H30*$B$18</f>
        <v/>
      </c>
    </row>
    <row r="31">
      <c r="C31" s="8" t="n"/>
      <c r="D31" s="9" t="n"/>
      <c r="E31" s="8" t="n"/>
      <c r="F31" s="9">
        <f>IF(E31&gt;0, D31*C31/E31, 0)</f>
        <v/>
      </c>
      <c r="G31" s="9">
        <f>C31*D31</f>
        <v/>
      </c>
      <c r="H31" s="10">
        <f>IF($G$71&gt;0, G31/$G$71, 0)</f>
        <v/>
      </c>
      <c r="I31" s="4">
        <f>H31*$B$18</f>
        <v/>
      </c>
    </row>
    <row r="32">
      <c r="C32" s="8" t="n"/>
      <c r="D32" s="9" t="n"/>
      <c r="E32" s="8" t="n"/>
      <c r="F32" s="9">
        <f>IF(E32&gt;0, D32*C32/E32, 0)</f>
        <v/>
      </c>
      <c r="G32" s="9">
        <f>C32*D32</f>
        <v/>
      </c>
      <c r="H32" s="10">
        <f>IF($G$71&gt;0, G32/$G$71, 0)</f>
        <v/>
      </c>
      <c r="I32" s="4">
        <f>H32*$B$18</f>
        <v/>
      </c>
    </row>
    <row r="33">
      <c r="C33" s="8" t="n"/>
      <c r="D33" s="9" t="n"/>
      <c r="E33" s="8" t="n"/>
      <c r="F33" s="9">
        <f>IF(E33&gt;0, D33*C33/E33, 0)</f>
        <v/>
      </c>
      <c r="G33" s="9">
        <f>C33*D33</f>
        <v/>
      </c>
      <c r="H33" s="10">
        <f>IF($G$71&gt;0, G33/$G$71, 0)</f>
        <v/>
      </c>
      <c r="I33" s="4">
        <f>H33*$B$18</f>
        <v/>
      </c>
    </row>
    <row r="34">
      <c r="C34" s="8" t="n"/>
      <c r="D34" s="9" t="n"/>
      <c r="E34" s="8" t="n"/>
      <c r="F34" s="9">
        <f>IF(E34&gt;0, D34*C34/E34, 0)</f>
        <v/>
      </c>
      <c r="G34" s="9">
        <f>C34*D34</f>
        <v/>
      </c>
      <c r="H34" s="10">
        <f>IF($G$71&gt;0, G34/$G$71, 0)</f>
        <v/>
      </c>
      <c r="I34" s="4">
        <f>H34*$B$18</f>
        <v/>
      </c>
    </row>
    <row r="35">
      <c r="C35" s="8" t="n"/>
      <c r="D35" s="9" t="n"/>
      <c r="E35" s="8" t="n"/>
      <c r="F35" s="9">
        <f>IF(E35&gt;0, D35*C35/E35, 0)</f>
        <v/>
      </c>
      <c r="G35" s="9">
        <f>C35*D35</f>
        <v/>
      </c>
      <c r="H35" s="10">
        <f>IF($G$71&gt;0, G35/$G$71, 0)</f>
        <v/>
      </c>
      <c r="I35" s="4">
        <f>H35*$B$18</f>
        <v/>
      </c>
    </row>
    <row r="36">
      <c r="C36" s="8" t="n"/>
      <c r="D36" s="9" t="n"/>
      <c r="E36" s="8" t="n"/>
      <c r="F36" s="9">
        <f>IF(E36&gt;0, D36*C36/E36, 0)</f>
        <v/>
      </c>
      <c r="G36" s="9">
        <f>C36*D36</f>
        <v/>
      </c>
      <c r="H36" s="10">
        <f>IF($G$71&gt;0, G36/$G$71, 0)</f>
        <v/>
      </c>
      <c r="I36" s="4">
        <f>H36*$B$18</f>
        <v/>
      </c>
    </row>
    <row r="37">
      <c r="C37" s="8" t="n"/>
      <c r="D37" s="9" t="n"/>
      <c r="E37" s="8" t="n"/>
      <c r="F37" s="9">
        <f>IF(E37&gt;0, D37*C37/E37, 0)</f>
        <v/>
      </c>
      <c r="G37" s="9">
        <f>C37*D37</f>
        <v/>
      </c>
      <c r="H37" s="10">
        <f>IF($G$71&gt;0, G37/$G$71, 0)</f>
        <v/>
      </c>
      <c r="I37" s="4">
        <f>H37*$B$18</f>
        <v/>
      </c>
    </row>
    <row r="38">
      <c r="C38" s="8" t="n"/>
      <c r="D38" s="9" t="n"/>
      <c r="E38" s="8" t="n"/>
      <c r="F38" s="9">
        <f>IF(E38&gt;0, D38*C38/E38, 0)</f>
        <v/>
      </c>
      <c r="G38" s="9">
        <f>C38*D38</f>
        <v/>
      </c>
      <c r="H38" s="10">
        <f>IF($G$71&gt;0, G38/$G$71, 0)</f>
        <v/>
      </c>
      <c r="I38" s="4">
        <f>H38*$B$18</f>
        <v/>
      </c>
    </row>
    <row r="39">
      <c r="C39" s="8" t="n"/>
      <c r="D39" s="9" t="n"/>
      <c r="E39" s="8" t="n"/>
      <c r="F39" s="9">
        <f>IF(E39&gt;0, D39*C39/E39, 0)</f>
        <v/>
      </c>
      <c r="G39" s="9">
        <f>C39*D39</f>
        <v/>
      </c>
      <c r="H39" s="10">
        <f>IF($G$71&gt;0, G39/$G$71, 0)</f>
        <v/>
      </c>
      <c r="I39" s="4">
        <f>H39*$B$18</f>
        <v/>
      </c>
    </row>
    <row r="40">
      <c r="C40" s="8" t="n"/>
      <c r="D40" s="9" t="n"/>
      <c r="E40" s="8" t="n"/>
      <c r="F40" s="9">
        <f>IF(E40&gt;0, D40*C40/E40, 0)</f>
        <v/>
      </c>
      <c r="G40" s="9">
        <f>C40*D40</f>
        <v/>
      </c>
      <c r="H40" s="10">
        <f>IF($G$71&gt;0, G40/$G$71, 0)</f>
        <v/>
      </c>
      <c r="I40" s="4">
        <f>H40*$B$18</f>
        <v/>
      </c>
    </row>
    <row r="41">
      <c r="C41" s="8" t="n"/>
      <c r="D41" s="9" t="n"/>
      <c r="E41" s="8" t="n"/>
      <c r="F41" s="9">
        <f>IF(E41&gt;0, D41*C41/E41, 0)</f>
        <v/>
      </c>
      <c r="G41" s="9">
        <f>C41*D41</f>
        <v/>
      </c>
      <c r="H41" s="10">
        <f>IF($G$71&gt;0, G41/$G$71, 0)</f>
        <v/>
      </c>
      <c r="I41" s="4">
        <f>H41*$B$18</f>
        <v/>
      </c>
    </row>
    <row r="42">
      <c r="C42" s="8" t="n"/>
      <c r="D42" s="9" t="n"/>
      <c r="E42" s="8" t="n"/>
      <c r="F42" s="9">
        <f>IF(E42&gt;0, D42*C42/E42, 0)</f>
        <v/>
      </c>
      <c r="G42" s="9">
        <f>C42*D42</f>
        <v/>
      </c>
      <c r="H42" s="10">
        <f>IF($G$71&gt;0, G42/$G$71, 0)</f>
        <v/>
      </c>
      <c r="I42" s="4">
        <f>H42*$B$18</f>
        <v/>
      </c>
    </row>
    <row r="43">
      <c r="C43" s="8" t="n"/>
      <c r="D43" s="9" t="n"/>
      <c r="E43" s="8" t="n"/>
      <c r="F43" s="9">
        <f>IF(E43&gt;0, D43*C43/E43, 0)</f>
        <v/>
      </c>
      <c r="G43" s="9">
        <f>C43*D43</f>
        <v/>
      </c>
      <c r="H43" s="10">
        <f>IF($G$71&gt;0, G43/$G$71, 0)</f>
        <v/>
      </c>
      <c r="I43" s="4">
        <f>H43*$B$18</f>
        <v/>
      </c>
    </row>
    <row r="44">
      <c r="C44" s="8" t="n"/>
      <c r="D44" s="9" t="n"/>
      <c r="E44" s="8" t="n"/>
      <c r="F44" s="9">
        <f>IF(E44&gt;0, D44*C44/E44, 0)</f>
        <v/>
      </c>
      <c r="G44" s="9">
        <f>C44*D44</f>
        <v/>
      </c>
      <c r="H44" s="10">
        <f>IF($G$71&gt;0, G44/$G$71, 0)</f>
        <v/>
      </c>
      <c r="I44" s="4">
        <f>H44*$B$18</f>
        <v/>
      </c>
    </row>
    <row r="45">
      <c r="C45" s="8" t="n"/>
      <c r="D45" s="9" t="n"/>
      <c r="E45" s="8" t="n"/>
      <c r="F45" s="9">
        <f>IF(E45&gt;0, D45*C45/E45, 0)</f>
        <v/>
      </c>
      <c r="G45" s="9">
        <f>C45*D45</f>
        <v/>
      </c>
      <c r="H45" s="10">
        <f>IF($G$71&gt;0, G45/$G$71, 0)</f>
        <v/>
      </c>
      <c r="I45" s="4">
        <f>H45*$B$18</f>
        <v/>
      </c>
    </row>
    <row r="46">
      <c r="C46" s="8" t="n"/>
      <c r="D46" s="9" t="n"/>
      <c r="E46" s="8" t="n"/>
      <c r="F46" s="9">
        <f>IF(E46&gt;0, D46*C46/E46, 0)</f>
        <v/>
      </c>
      <c r="G46" s="9">
        <f>C46*D46</f>
        <v/>
      </c>
      <c r="H46" s="10">
        <f>IF($G$71&gt;0, G46/$G$71, 0)</f>
        <v/>
      </c>
      <c r="I46" s="4">
        <f>H46*$B$18</f>
        <v/>
      </c>
    </row>
    <row r="47">
      <c r="C47" s="8" t="n"/>
      <c r="D47" s="9" t="n"/>
      <c r="E47" s="8" t="n"/>
      <c r="F47" s="9">
        <f>IF(E47&gt;0, D47*C47/E47, 0)</f>
        <v/>
      </c>
      <c r="G47" s="9">
        <f>C47*D47</f>
        <v/>
      </c>
      <c r="H47" s="10">
        <f>IF($G$71&gt;0, G47/$G$71, 0)</f>
        <v/>
      </c>
      <c r="I47" s="4">
        <f>H47*$B$18</f>
        <v/>
      </c>
    </row>
    <row r="48">
      <c r="C48" s="8" t="n"/>
      <c r="D48" s="9" t="n"/>
      <c r="E48" s="8" t="n"/>
      <c r="F48" s="9">
        <f>IF(E48&gt;0, D48*C48/E48, 0)</f>
        <v/>
      </c>
      <c r="G48" s="9">
        <f>C48*D48</f>
        <v/>
      </c>
      <c r="H48" s="10">
        <f>IF($G$71&gt;0, G48/$G$71, 0)</f>
        <v/>
      </c>
      <c r="I48" s="4">
        <f>H48*$B$18</f>
        <v/>
      </c>
    </row>
    <row r="49">
      <c r="C49" s="8" t="n"/>
      <c r="D49" s="9" t="n"/>
      <c r="E49" s="8" t="n"/>
      <c r="F49" s="9">
        <f>IF(E49&gt;0, D49*C49/E49, 0)</f>
        <v/>
      </c>
      <c r="G49" s="9">
        <f>C49*D49</f>
        <v/>
      </c>
      <c r="H49" s="10">
        <f>IF($G$71&gt;0, G49/$G$71, 0)</f>
        <v/>
      </c>
      <c r="I49" s="4">
        <f>H49*$B$18</f>
        <v/>
      </c>
    </row>
    <row r="50">
      <c r="C50" s="8" t="n"/>
      <c r="D50" s="9" t="n"/>
      <c r="E50" s="8" t="n"/>
      <c r="F50" s="9">
        <f>IF(E50&gt;0, D50*C50/E50, 0)</f>
        <v/>
      </c>
      <c r="G50" s="9">
        <f>C50*D50</f>
        <v/>
      </c>
      <c r="H50" s="10">
        <f>IF($G$71&gt;0, G50/$G$71, 0)</f>
        <v/>
      </c>
      <c r="I50" s="4">
        <f>H50*$B$18</f>
        <v/>
      </c>
    </row>
    <row r="51">
      <c r="C51" s="8" t="n"/>
      <c r="D51" s="9" t="n"/>
      <c r="E51" s="8" t="n"/>
      <c r="F51" s="9">
        <f>IF(E51&gt;0, D51*C51/E51, 0)</f>
        <v/>
      </c>
      <c r="G51" s="9">
        <f>C51*D51</f>
        <v/>
      </c>
      <c r="H51" s="10">
        <f>IF($G$71&gt;0, G51/$G$71, 0)</f>
        <v/>
      </c>
      <c r="I51" s="4">
        <f>H51*$B$18</f>
        <v/>
      </c>
    </row>
    <row r="52">
      <c r="C52" s="8" t="n"/>
      <c r="D52" s="9" t="n"/>
      <c r="E52" s="8" t="n"/>
      <c r="F52" s="9">
        <f>IF(E52&gt;0, D52*C52/E52, 0)</f>
        <v/>
      </c>
      <c r="G52" s="9">
        <f>C52*D52</f>
        <v/>
      </c>
      <c r="H52" s="10">
        <f>IF($G$71&gt;0, G52/$G$71, 0)</f>
        <v/>
      </c>
      <c r="I52" s="4">
        <f>H52*$B$18</f>
        <v/>
      </c>
    </row>
    <row r="53">
      <c r="C53" s="8" t="n"/>
      <c r="D53" s="9" t="n"/>
      <c r="E53" s="8" t="n"/>
      <c r="F53" s="9">
        <f>IF(E53&gt;0, D53*C53/E53, 0)</f>
        <v/>
      </c>
      <c r="G53" s="9">
        <f>C53*D53</f>
        <v/>
      </c>
      <c r="H53" s="10">
        <f>IF($G$71&gt;0, G53/$G$71, 0)</f>
        <v/>
      </c>
      <c r="I53" s="4">
        <f>H53*$B$18</f>
        <v/>
      </c>
    </row>
    <row r="54">
      <c r="C54" s="8" t="n"/>
      <c r="D54" s="9" t="n"/>
      <c r="E54" s="8" t="n"/>
      <c r="F54" s="9">
        <f>IF(E54&gt;0, D54*C54/E54, 0)</f>
        <v/>
      </c>
      <c r="G54" s="9">
        <f>C54*D54</f>
        <v/>
      </c>
      <c r="H54" s="10">
        <f>IF($G$71&gt;0, G54/$G$71, 0)</f>
        <v/>
      </c>
      <c r="I54" s="4">
        <f>H54*$B$18</f>
        <v/>
      </c>
    </row>
    <row r="55">
      <c r="C55" s="8" t="n"/>
      <c r="D55" s="9" t="n"/>
      <c r="E55" s="8" t="n"/>
      <c r="F55" s="9">
        <f>IF(E55&gt;0, D55*C55/E55, 0)</f>
        <v/>
      </c>
      <c r="G55" s="9">
        <f>C55*D55</f>
        <v/>
      </c>
      <c r="H55" s="10">
        <f>IF($G$71&gt;0, G55/$G$71, 0)</f>
        <v/>
      </c>
      <c r="I55" s="4">
        <f>H55*$B$18</f>
        <v/>
      </c>
    </row>
    <row r="56">
      <c r="C56" s="8" t="n"/>
      <c r="D56" s="9" t="n"/>
      <c r="E56" s="8" t="n"/>
      <c r="F56" s="9">
        <f>IF(E56&gt;0, D56*C56/E56, 0)</f>
        <v/>
      </c>
      <c r="G56" s="9">
        <f>C56*D56</f>
        <v/>
      </c>
      <c r="H56" s="10">
        <f>IF($G$71&gt;0, G56/$G$71, 0)</f>
        <v/>
      </c>
      <c r="I56" s="4">
        <f>H56*$B$18</f>
        <v/>
      </c>
    </row>
    <row r="57">
      <c r="C57" s="8" t="n"/>
      <c r="D57" s="9" t="n"/>
      <c r="E57" s="8" t="n"/>
      <c r="F57" s="9">
        <f>IF(E57&gt;0, D57*C57/E57, 0)</f>
        <v/>
      </c>
      <c r="G57" s="9">
        <f>C57*D57</f>
        <v/>
      </c>
      <c r="H57" s="10">
        <f>IF($G$71&gt;0, G57/$G$71, 0)</f>
        <v/>
      </c>
      <c r="I57" s="4">
        <f>H57*$B$18</f>
        <v/>
      </c>
    </row>
    <row r="58">
      <c r="C58" s="8" t="n"/>
      <c r="D58" s="9" t="n"/>
      <c r="E58" s="8" t="n"/>
      <c r="F58" s="9">
        <f>IF(E58&gt;0, D58*C58/E58, 0)</f>
        <v/>
      </c>
      <c r="G58" s="9">
        <f>C58*D58</f>
        <v/>
      </c>
      <c r="H58" s="10">
        <f>IF($G$71&gt;0, G58/$G$71, 0)</f>
        <v/>
      </c>
      <c r="I58" s="4">
        <f>H58*$B$18</f>
        <v/>
      </c>
    </row>
    <row r="59">
      <c r="C59" s="8" t="n"/>
      <c r="D59" s="9" t="n"/>
      <c r="E59" s="8" t="n"/>
      <c r="F59" s="9">
        <f>IF(E59&gt;0, D59*C59/E59, 0)</f>
        <v/>
      </c>
      <c r="G59" s="9">
        <f>C59*D59</f>
        <v/>
      </c>
      <c r="H59" s="10">
        <f>IF($G$71&gt;0, G59/$G$71, 0)</f>
        <v/>
      </c>
      <c r="I59" s="4">
        <f>H59*$B$18</f>
        <v/>
      </c>
    </row>
    <row r="60">
      <c r="C60" s="8" t="n"/>
      <c r="D60" s="9" t="n"/>
      <c r="E60" s="8" t="n"/>
      <c r="F60" s="9">
        <f>IF(E60&gt;0, D60*C60/E60, 0)</f>
        <v/>
      </c>
      <c r="G60" s="9">
        <f>C60*D60</f>
        <v/>
      </c>
      <c r="H60" s="10">
        <f>IF($G$71&gt;0, G60/$G$71, 0)</f>
        <v/>
      </c>
      <c r="I60" s="4">
        <f>H60*$B$18</f>
        <v/>
      </c>
    </row>
    <row r="61">
      <c r="C61" s="8" t="n"/>
      <c r="D61" s="9" t="n"/>
      <c r="E61" s="8" t="n"/>
      <c r="F61" s="9">
        <f>IF(E61&gt;0, D61*C61/E61, 0)</f>
        <v/>
      </c>
      <c r="G61" s="9">
        <f>C61*D61</f>
        <v/>
      </c>
      <c r="H61" s="10">
        <f>IF($G$71&gt;0, G61/$G$71, 0)</f>
        <v/>
      </c>
      <c r="I61" s="4">
        <f>H61*$B$18</f>
        <v/>
      </c>
    </row>
    <row r="62">
      <c r="C62" s="8" t="n"/>
      <c r="D62" s="9" t="n"/>
      <c r="E62" s="8" t="n"/>
      <c r="F62" s="9">
        <f>IF(E62&gt;0, D62*C62/E62, 0)</f>
        <v/>
      </c>
      <c r="G62" s="9">
        <f>C62*D62</f>
        <v/>
      </c>
      <c r="H62" s="10">
        <f>IF($G$71&gt;0, G62/$G$71, 0)</f>
        <v/>
      </c>
      <c r="I62" s="4">
        <f>H62*$B$18</f>
        <v/>
      </c>
    </row>
    <row r="63">
      <c r="C63" s="8" t="n"/>
      <c r="D63" s="9" t="n"/>
      <c r="E63" s="8" t="n"/>
      <c r="F63" s="9">
        <f>IF(E63&gt;0, D63*C63/E63, 0)</f>
        <v/>
      </c>
      <c r="G63" s="9">
        <f>C63*D63</f>
        <v/>
      </c>
      <c r="H63" s="10">
        <f>IF($G$71&gt;0, G63/$G$71, 0)</f>
        <v/>
      </c>
      <c r="I63" s="4">
        <f>H63*$B$18</f>
        <v/>
      </c>
    </row>
    <row r="64">
      <c r="C64" s="8" t="n"/>
      <c r="D64" s="9" t="n"/>
      <c r="E64" s="8" t="n"/>
      <c r="F64" s="9">
        <f>IF(E64&gt;0, D64*C64/E64, 0)</f>
        <v/>
      </c>
      <c r="G64" s="9">
        <f>C64*D64</f>
        <v/>
      </c>
      <c r="H64" s="10">
        <f>IF($G$71&gt;0, G64/$G$71, 0)</f>
        <v/>
      </c>
      <c r="I64" s="4">
        <f>H64*$B$18</f>
        <v/>
      </c>
    </row>
    <row r="65">
      <c r="C65" s="8" t="n"/>
      <c r="D65" s="9" t="n"/>
      <c r="E65" s="8" t="n"/>
      <c r="F65" s="9">
        <f>IF(E65&gt;0, D65*C65/E65, 0)</f>
        <v/>
      </c>
      <c r="G65" s="9">
        <f>C65*D65</f>
        <v/>
      </c>
      <c r="H65" s="10">
        <f>IF($G$71&gt;0, G65/$G$71, 0)</f>
        <v/>
      </c>
      <c r="I65" s="4">
        <f>H65*$B$18</f>
        <v/>
      </c>
    </row>
    <row r="66">
      <c r="C66" s="8" t="n"/>
      <c r="D66" s="9" t="n"/>
      <c r="E66" s="8" t="n"/>
      <c r="F66" s="9">
        <f>IF(E66&gt;0, D66*C66/E66, 0)</f>
        <v/>
      </c>
      <c r="G66" s="9">
        <f>C66*D66</f>
        <v/>
      </c>
      <c r="H66" s="10">
        <f>IF($G$71&gt;0, G66/$G$71, 0)</f>
        <v/>
      </c>
      <c r="I66" s="4">
        <f>H66*$B$18</f>
        <v/>
      </c>
    </row>
    <row r="67">
      <c r="C67" s="8" t="n"/>
      <c r="D67" s="9" t="n"/>
      <c r="E67" s="8" t="n"/>
      <c r="F67" s="9">
        <f>IF(E67&gt;0, D67*C67/E67, 0)</f>
        <v/>
      </c>
      <c r="G67" s="9">
        <f>C67*D67</f>
        <v/>
      </c>
      <c r="H67" s="10">
        <f>IF($G$71&gt;0, G67/$G$71, 0)</f>
        <v/>
      </c>
      <c r="I67" s="4">
        <f>H67*$B$18</f>
        <v/>
      </c>
    </row>
    <row r="68">
      <c r="C68" s="8" t="n"/>
      <c r="D68" s="9" t="n"/>
      <c r="E68" s="8" t="n"/>
      <c r="F68" s="9">
        <f>IF(E68&gt;0, D68*C68/E68, 0)</f>
        <v/>
      </c>
      <c r="G68" s="9">
        <f>C68*D68</f>
        <v/>
      </c>
      <c r="H68" s="10">
        <f>IF($G$71&gt;0, G68/$G$71, 0)</f>
        <v/>
      </c>
      <c r="I68" s="4">
        <f>H68*$B$18</f>
        <v/>
      </c>
    </row>
    <row r="69">
      <c r="C69" s="8" t="n"/>
      <c r="D69" s="9" t="n"/>
      <c r="E69" s="8" t="n"/>
      <c r="F69" s="9">
        <f>IF(E69&gt;0, D69*C69/E69, 0)</f>
        <v/>
      </c>
      <c r="G69" s="9">
        <f>C69*D69</f>
        <v/>
      </c>
      <c r="H69" s="10">
        <f>IF($G$71&gt;0, G69/$G$71, 0)</f>
        <v/>
      </c>
      <c r="I69" s="4">
        <f>H69*$B$18</f>
        <v/>
      </c>
    </row>
    <row r="70">
      <c r="C70" s="8" t="n"/>
      <c r="D70" s="9" t="n"/>
      <c r="E70" s="8" t="n"/>
      <c r="F70" s="9">
        <f>IF(E70&gt;0, D70*C70/E70, 0)</f>
        <v/>
      </c>
      <c r="G70" s="9">
        <f>C70*D70</f>
        <v/>
      </c>
      <c r="H70" s="10">
        <f>IF($G$71&gt;0, G70/$G$71, 0)</f>
        <v/>
      </c>
      <c r="I70" s="4">
        <f>H70*$B$18</f>
        <v/>
      </c>
    </row>
    <row r="71">
      <c r="A71" s="2" t="inlineStr">
        <is>
          <t>TOTALS:</t>
        </is>
      </c>
      <c r="C71" s="11">
        <f>SUM(C21:C70)</f>
        <v/>
      </c>
      <c r="E71" s="11">
        <f>SUM(E21:E70)</f>
        <v/>
      </c>
      <c r="G71" s="12">
        <f>SUM(G21:G70)</f>
        <v/>
      </c>
      <c r="H71" s="13">
        <f>SUM(H21:H70)</f>
        <v/>
      </c>
      <c r="I71" s="5">
        <f>SUM(I21:I70)</f>
        <v/>
      </c>
    </row>
    <row r="73">
      <c r="A73" s="2" t="inlineStr">
        <is>
          <t>Validation Check:</t>
        </is>
      </c>
      <c r="B73" s="2">
        <f>IF(ABS(I71-B18)&lt;0.01, "✓ PASS", "✗ FAIL - Allocation Error")</f>
        <v/>
      </c>
    </row>
    <row r="75">
      <c r="A75" s="14" t="inlineStr">
        <is>
          <t>INSTRUCTIONS: Enter CBP Entry Summary data in Section A. Enter Freight Expediters invoice total. Enter part details starting row 21. Freight will auto-allocate by weight percentage.</t>
        </is>
      </c>
    </row>
  </sheetData>
  <mergeCells count="2">
    <mergeCell ref="A75:I75"/>
    <mergeCell ref="A1:F1"/>
  </mergeCells>
  <conditionalFormatting sqref="B73">
    <cfRule type="cellIs" priority="1" operator="containsText" dxfId="0">
      <formula>"PASS"</formula>
    </cfRule>
    <cfRule type="cellIs" priority="2" operator="containsText" dxfId="1">
      <formula>"FAIL"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FREIGHT COST ANALYSIS</t>
        </is>
      </c>
    </row>
    <row r="2">
      <c r="A2" t="inlineStr">
        <is>
          <t>Entry #:</t>
        </is>
      </c>
      <c r="B2">
        <f>'Import Data Entry'!B3</f>
        <v/>
      </c>
      <c r="D2" t="inlineStr">
        <is>
          <t>Vessel:</t>
        </is>
      </c>
      <c r="E2">
        <f>'Import Data Entry'!B5</f>
        <v/>
      </c>
      <c r="G2" t="inlineStr">
        <is>
          <t>Total Freight:</t>
        </is>
      </c>
      <c r="H2" s="4">
        <f>'Import Data Entry'!B18</f>
        <v/>
      </c>
    </row>
    <row r="4">
      <c r="A4" s="7" t="inlineStr">
        <is>
          <t>Part #</t>
        </is>
      </c>
      <c r="B4" s="7" t="inlineStr">
        <is>
          <t>Description</t>
        </is>
      </c>
      <c r="C4" s="7" t="inlineStr">
        <is>
          <t>Quantity (M)</t>
        </is>
      </c>
      <c r="D4" s="7" t="inlineStr">
        <is>
          <t>Net Weight (KG)</t>
        </is>
      </c>
      <c r="E4" s="7" t="inlineStr">
        <is>
          <t>Allocated Freight</t>
        </is>
      </c>
      <c r="F4" s="7" t="inlineStr">
        <is>
          <t>Cost per M</t>
        </is>
      </c>
      <c r="G4" s="7" t="inlineStr">
        <is>
          <t>Cost per Unit</t>
        </is>
      </c>
      <c r="H4" s="7" t="inlineStr">
        <is>
          <t>Cost per KG</t>
        </is>
      </c>
      <c r="I4" s="7" t="inlineStr">
        <is>
          <t>DRM Code</t>
        </is>
      </c>
      <c r="J4" s="7" t="inlineStr">
        <is>
          <t>Notes</t>
        </is>
      </c>
    </row>
    <row r="5">
      <c r="A5">
        <f>'Import Data Entry'!A21</f>
        <v/>
      </c>
      <c r="B5">
        <f>'Import Data Entry'!B21</f>
        <v/>
      </c>
      <c r="C5" s="15">
        <f>'Import Data Entry'!C21/1000</f>
        <v/>
      </c>
      <c r="D5" s="9">
        <f>'Import Data Entry'!D21</f>
        <v/>
      </c>
      <c r="E5" s="4">
        <f>'Import Data Entry'!I21</f>
        <v/>
      </c>
      <c r="F5" s="4">
        <f>IF(C5&gt;0, E5/C5, 0)</f>
        <v/>
      </c>
      <c r="G5" s="16">
        <f>IF(C5&gt;0, E5/(C5*1000), 0)</f>
        <v/>
      </c>
      <c r="H5" s="16">
        <f>IF(D5&gt;0, E5/(D5*C5*1000), 0)</f>
        <v/>
      </c>
      <c r="I5" t="inlineStr">
        <is>
          <t>DRM-A</t>
        </is>
      </c>
    </row>
    <row r="6">
      <c r="A6">
        <f>'Import Data Entry'!A22</f>
        <v/>
      </c>
      <c r="B6">
        <f>'Import Data Entry'!B22</f>
        <v/>
      </c>
      <c r="C6" s="15">
        <f>'Import Data Entry'!C22/1000</f>
        <v/>
      </c>
      <c r="D6" s="9">
        <f>'Import Data Entry'!D22</f>
        <v/>
      </c>
      <c r="E6" s="4">
        <f>'Import Data Entry'!I22</f>
        <v/>
      </c>
      <c r="F6" s="4">
        <f>IF(C6&gt;0, E6/C6, 0)</f>
        <v/>
      </c>
      <c r="G6" s="16">
        <f>IF(C6&gt;0, E6/(C6*1000), 0)</f>
        <v/>
      </c>
      <c r="H6" s="16">
        <f>IF(D6&gt;0, E6/(D6*C6*1000), 0)</f>
        <v/>
      </c>
      <c r="I6" t="inlineStr">
        <is>
          <t>DRM-B</t>
        </is>
      </c>
    </row>
    <row r="7">
      <c r="A7">
        <f>'Import Data Entry'!A23</f>
        <v/>
      </c>
      <c r="B7">
        <f>'Import Data Entry'!B23</f>
        <v/>
      </c>
      <c r="C7" s="15">
        <f>'Import Data Entry'!C23/1000</f>
        <v/>
      </c>
      <c r="D7" s="9">
        <f>'Import Data Entry'!D23</f>
        <v/>
      </c>
      <c r="E7" s="4">
        <f>'Import Data Entry'!I23</f>
        <v/>
      </c>
      <c r="F7" s="4">
        <f>IF(C7&gt;0, E7/C7, 0)</f>
        <v/>
      </c>
      <c r="G7" s="16">
        <f>IF(C7&gt;0, E7/(C7*1000), 0)</f>
        <v/>
      </c>
      <c r="H7" s="16">
        <f>IF(D7&gt;0, E7/(D7*C7*1000), 0)</f>
        <v/>
      </c>
      <c r="I7" t="inlineStr">
        <is>
          <t>DRM-C</t>
        </is>
      </c>
    </row>
    <row r="8">
      <c r="A8">
        <f>'Import Data Entry'!A24</f>
        <v/>
      </c>
      <c r="B8">
        <f>'Import Data Entry'!B24</f>
        <v/>
      </c>
      <c r="C8" s="15">
        <f>'Import Data Entry'!C24/1000</f>
        <v/>
      </c>
      <c r="D8" s="9">
        <f>'Import Data Entry'!D24</f>
        <v/>
      </c>
      <c r="E8" s="4">
        <f>'Import Data Entry'!I24</f>
        <v/>
      </c>
      <c r="F8" s="4">
        <f>IF(C8&gt;0, E8/C8, 0)</f>
        <v/>
      </c>
      <c r="G8" s="16">
        <f>IF(C8&gt;0, E8/(C8*1000), 0)</f>
        <v/>
      </c>
      <c r="H8" s="16">
        <f>IF(D8&gt;0, E8/(D8*C8*1000), 0)</f>
        <v/>
      </c>
    </row>
    <row r="9">
      <c r="A9">
        <f>'Import Data Entry'!A25</f>
        <v/>
      </c>
      <c r="B9">
        <f>'Import Data Entry'!B25</f>
        <v/>
      </c>
      <c r="C9" s="15">
        <f>'Import Data Entry'!C25/1000</f>
        <v/>
      </c>
      <c r="D9" s="9">
        <f>'Import Data Entry'!D25</f>
        <v/>
      </c>
      <c r="E9" s="4">
        <f>'Import Data Entry'!I25</f>
        <v/>
      </c>
      <c r="F9" s="4">
        <f>IF(C9&gt;0, E9/C9, 0)</f>
        <v/>
      </c>
      <c r="G9" s="16">
        <f>IF(C9&gt;0, E9/(C9*1000), 0)</f>
        <v/>
      </c>
      <c r="H9" s="16">
        <f>IF(D9&gt;0, E9/(D9*C9*1000), 0)</f>
        <v/>
      </c>
    </row>
    <row r="10">
      <c r="A10">
        <f>'Import Data Entry'!A26</f>
        <v/>
      </c>
      <c r="B10">
        <f>'Import Data Entry'!B26</f>
        <v/>
      </c>
      <c r="C10" s="15">
        <f>'Import Data Entry'!C26/1000</f>
        <v/>
      </c>
      <c r="D10" s="9">
        <f>'Import Data Entry'!D26</f>
        <v/>
      </c>
      <c r="E10" s="4">
        <f>'Import Data Entry'!I26</f>
        <v/>
      </c>
      <c r="F10" s="4">
        <f>IF(C10&gt;0, E10/C10, 0)</f>
        <v/>
      </c>
      <c r="G10" s="16">
        <f>IF(C10&gt;0, E10/(C10*1000), 0)</f>
        <v/>
      </c>
      <c r="H10" s="16">
        <f>IF(D10&gt;0, E10/(D10*C10*1000), 0)</f>
        <v/>
      </c>
    </row>
    <row r="11">
      <c r="A11">
        <f>'Import Data Entry'!A27</f>
        <v/>
      </c>
      <c r="B11">
        <f>'Import Data Entry'!B27</f>
        <v/>
      </c>
      <c r="C11" s="15">
        <f>'Import Data Entry'!C27/1000</f>
        <v/>
      </c>
      <c r="D11" s="9">
        <f>'Import Data Entry'!D27</f>
        <v/>
      </c>
      <c r="E11" s="4">
        <f>'Import Data Entry'!I27</f>
        <v/>
      </c>
      <c r="F11" s="4">
        <f>IF(C11&gt;0, E11/C11, 0)</f>
        <v/>
      </c>
      <c r="G11" s="16">
        <f>IF(C11&gt;0, E11/(C11*1000), 0)</f>
        <v/>
      </c>
      <c r="H11" s="16">
        <f>IF(D11&gt;0, E11/(D11*C11*1000), 0)</f>
        <v/>
      </c>
    </row>
    <row r="12">
      <c r="A12">
        <f>'Import Data Entry'!A28</f>
        <v/>
      </c>
      <c r="B12">
        <f>'Import Data Entry'!B28</f>
        <v/>
      </c>
      <c r="C12" s="15">
        <f>'Import Data Entry'!C28/1000</f>
        <v/>
      </c>
      <c r="D12" s="9">
        <f>'Import Data Entry'!D28</f>
        <v/>
      </c>
      <c r="E12" s="4">
        <f>'Import Data Entry'!I28</f>
        <v/>
      </c>
      <c r="F12" s="4">
        <f>IF(C12&gt;0, E12/C12, 0)</f>
        <v/>
      </c>
      <c r="G12" s="16">
        <f>IF(C12&gt;0, E12/(C12*1000), 0)</f>
        <v/>
      </c>
      <c r="H12" s="16">
        <f>IF(D12&gt;0, E12/(D12*C12*1000), 0)</f>
        <v/>
      </c>
    </row>
    <row r="13">
      <c r="A13">
        <f>'Import Data Entry'!A29</f>
        <v/>
      </c>
      <c r="B13">
        <f>'Import Data Entry'!B29</f>
        <v/>
      </c>
      <c r="C13" s="15">
        <f>'Import Data Entry'!C29/1000</f>
        <v/>
      </c>
      <c r="D13" s="9">
        <f>'Import Data Entry'!D29</f>
        <v/>
      </c>
      <c r="E13" s="4">
        <f>'Import Data Entry'!I29</f>
        <v/>
      </c>
      <c r="F13" s="4">
        <f>IF(C13&gt;0, E13/C13, 0)</f>
        <v/>
      </c>
      <c r="G13" s="16">
        <f>IF(C13&gt;0, E13/(C13*1000), 0)</f>
        <v/>
      </c>
      <c r="H13" s="16">
        <f>IF(D13&gt;0, E13/(D13*C13*1000), 0)</f>
        <v/>
      </c>
    </row>
    <row r="14">
      <c r="A14">
        <f>'Import Data Entry'!A30</f>
        <v/>
      </c>
      <c r="B14">
        <f>'Import Data Entry'!B30</f>
        <v/>
      </c>
      <c r="C14" s="15">
        <f>'Import Data Entry'!C30/1000</f>
        <v/>
      </c>
      <c r="D14" s="9">
        <f>'Import Data Entry'!D30</f>
        <v/>
      </c>
      <c r="E14" s="4">
        <f>'Import Data Entry'!I30</f>
        <v/>
      </c>
      <c r="F14" s="4">
        <f>IF(C14&gt;0, E14/C14, 0)</f>
        <v/>
      </c>
      <c r="G14" s="16">
        <f>IF(C14&gt;0, E14/(C14*1000), 0)</f>
        <v/>
      </c>
      <c r="H14" s="16">
        <f>IF(D14&gt;0, E14/(D14*C14*1000), 0)</f>
        <v/>
      </c>
    </row>
    <row r="15">
      <c r="A15">
        <f>'Import Data Entry'!A31</f>
        <v/>
      </c>
      <c r="B15">
        <f>'Import Data Entry'!B31</f>
        <v/>
      </c>
      <c r="C15" s="15">
        <f>'Import Data Entry'!C31/1000</f>
        <v/>
      </c>
      <c r="D15" s="9">
        <f>'Import Data Entry'!D31</f>
        <v/>
      </c>
      <c r="E15" s="4">
        <f>'Import Data Entry'!I31</f>
        <v/>
      </c>
      <c r="F15" s="4">
        <f>IF(C15&gt;0, E15/C15, 0)</f>
        <v/>
      </c>
      <c r="G15" s="16">
        <f>IF(C15&gt;0, E15/(C15*1000), 0)</f>
        <v/>
      </c>
      <c r="H15" s="16">
        <f>IF(D15&gt;0, E15/(D15*C15*1000), 0)</f>
        <v/>
      </c>
    </row>
    <row r="16">
      <c r="A16">
        <f>'Import Data Entry'!A32</f>
        <v/>
      </c>
      <c r="B16">
        <f>'Import Data Entry'!B32</f>
        <v/>
      </c>
      <c r="C16" s="15">
        <f>'Import Data Entry'!C32/1000</f>
        <v/>
      </c>
      <c r="D16" s="9">
        <f>'Import Data Entry'!D32</f>
        <v/>
      </c>
      <c r="E16" s="4">
        <f>'Import Data Entry'!I32</f>
        <v/>
      </c>
      <c r="F16" s="4">
        <f>IF(C16&gt;0, E16/C16, 0)</f>
        <v/>
      </c>
      <c r="G16" s="16">
        <f>IF(C16&gt;0, E16/(C16*1000), 0)</f>
        <v/>
      </c>
      <c r="H16" s="16">
        <f>IF(D16&gt;0, E16/(D16*C16*1000), 0)</f>
        <v/>
      </c>
    </row>
    <row r="17">
      <c r="A17">
        <f>'Import Data Entry'!A33</f>
        <v/>
      </c>
      <c r="B17">
        <f>'Import Data Entry'!B33</f>
        <v/>
      </c>
      <c r="C17" s="15">
        <f>'Import Data Entry'!C33/1000</f>
        <v/>
      </c>
      <c r="D17" s="9">
        <f>'Import Data Entry'!D33</f>
        <v/>
      </c>
      <c r="E17" s="4">
        <f>'Import Data Entry'!I33</f>
        <v/>
      </c>
      <c r="F17" s="4">
        <f>IF(C17&gt;0, E17/C17, 0)</f>
        <v/>
      </c>
      <c r="G17" s="16">
        <f>IF(C17&gt;0, E17/(C17*1000), 0)</f>
        <v/>
      </c>
      <c r="H17" s="16">
        <f>IF(D17&gt;0, E17/(D17*C17*1000), 0)</f>
        <v/>
      </c>
    </row>
    <row r="18">
      <c r="A18">
        <f>'Import Data Entry'!A34</f>
        <v/>
      </c>
      <c r="B18">
        <f>'Import Data Entry'!B34</f>
        <v/>
      </c>
      <c r="C18" s="15">
        <f>'Import Data Entry'!C34/1000</f>
        <v/>
      </c>
      <c r="D18" s="9">
        <f>'Import Data Entry'!D34</f>
        <v/>
      </c>
      <c r="E18" s="4">
        <f>'Import Data Entry'!I34</f>
        <v/>
      </c>
      <c r="F18" s="4">
        <f>IF(C18&gt;0, E18/C18, 0)</f>
        <v/>
      </c>
      <c r="G18" s="16">
        <f>IF(C18&gt;0, E18/(C18*1000), 0)</f>
        <v/>
      </c>
      <c r="H18" s="16">
        <f>IF(D18&gt;0, E18/(D18*C18*1000), 0)</f>
        <v/>
      </c>
    </row>
    <row r="19">
      <c r="A19">
        <f>'Import Data Entry'!A35</f>
        <v/>
      </c>
      <c r="B19">
        <f>'Import Data Entry'!B35</f>
        <v/>
      </c>
      <c r="C19" s="15">
        <f>'Import Data Entry'!C35/1000</f>
        <v/>
      </c>
      <c r="D19" s="9">
        <f>'Import Data Entry'!D35</f>
        <v/>
      </c>
      <c r="E19" s="4">
        <f>'Import Data Entry'!I35</f>
        <v/>
      </c>
      <c r="F19" s="4">
        <f>IF(C19&gt;0, E19/C19, 0)</f>
        <v/>
      </c>
      <c r="G19" s="16">
        <f>IF(C19&gt;0, E19/(C19*1000), 0)</f>
        <v/>
      </c>
      <c r="H19" s="16">
        <f>IF(D19&gt;0, E19/(D19*C19*1000), 0)</f>
        <v/>
      </c>
    </row>
    <row r="20">
      <c r="A20">
        <f>'Import Data Entry'!A36</f>
        <v/>
      </c>
      <c r="B20">
        <f>'Import Data Entry'!B36</f>
        <v/>
      </c>
      <c r="C20" s="15">
        <f>'Import Data Entry'!C36/1000</f>
        <v/>
      </c>
      <c r="D20" s="9">
        <f>'Import Data Entry'!D36</f>
        <v/>
      </c>
      <c r="E20" s="4">
        <f>'Import Data Entry'!I36</f>
        <v/>
      </c>
      <c r="F20" s="4">
        <f>IF(C20&gt;0, E20/C20, 0)</f>
        <v/>
      </c>
      <c r="G20" s="16">
        <f>IF(C20&gt;0, E20/(C20*1000), 0)</f>
        <v/>
      </c>
      <c r="H20" s="16">
        <f>IF(D20&gt;0, E20/(D20*C20*1000), 0)</f>
        <v/>
      </c>
    </row>
    <row r="21">
      <c r="A21">
        <f>'Import Data Entry'!A37</f>
        <v/>
      </c>
      <c r="B21">
        <f>'Import Data Entry'!B37</f>
        <v/>
      </c>
      <c r="C21" s="15">
        <f>'Import Data Entry'!C37/1000</f>
        <v/>
      </c>
      <c r="D21" s="9">
        <f>'Import Data Entry'!D37</f>
        <v/>
      </c>
      <c r="E21" s="4">
        <f>'Import Data Entry'!I37</f>
        <v/>
      </c>
      <c r="F21" s="4">
        <f>IF(C21&gt;0, E21/C21, 0)</f>
        <v/>
      </c>
      <c r="G21" s="16">
        <f>IF(C21&gt;0, E21/(C21*1000), 0)</f>
        <v/>
      </c>
      <c r="H21" s="16">
        <f>IF(D21&gt;0, E21/(D21*C21*1000), 0)</f>
        <v/>
      </c>
    </row>
    <row r="22">
      <c r="A22">
        <f>'Import Data Entry'!A38</f>
        <v/>
      </c>
      <c r="B22">
        <f>'Import Data Entry'!B38</f>
        <v/>
      </c>
      <c r="C22" s="15">
        <f>'Import Data Entry'!C38/1000</f>
        <v/>
      </c>
      <c r="D22" s="9">
        <f>'Import Data Entry'!D38</f>
        <v/>
      </c>
      <c r="E22" s="4">
        <f>'Import Data Entry'!I38</f>
        <v/>
      </c>
      <c r="F22" s="4">
        <f>IF(C22&gt;0, E22/C22, 0)</f>
        <v/>
      </c>
      <c r="G22" s="16">
        <f>IF(C22&gt;0, E22/(C22*1000), 0)</f>
        <v/>
      </c>
      <c r="H22" s="16">
        <f>IF(D22&gt;0, E22/(D22*C22*1000), 0)</f>
        <v/>
      </c>
    </row>
    <row r="23">
      <c r="A23">
        <f>'Import Data Entry'!A39</f>
        <v/>
      </c>
      <c r="B23">
        <f>'Import Data Entry'!B39</f>
        <v/>
      </c>
      <c r="C23" s="15">
        <f>'Import Data Entry'!C39/1000</f>
        <v/>
      </c>
      <c r="D23" s="9">
        <f>'Import Data Entry'!D39</f>
        <v/>
      </c>
      <c r="E23" s="4">
        <f>'Import Data Entry'!I39</f>
        <v/>
      </c>
      <c r="F23" s="4">
        <f>IF(C23&gt;0, E23/C23, 0)</f>
        <v/>
      </c>
      <c r="G23" s="16">
        <f>IF(C23&gt;0, E23/(C23*1000), 0)</f>
        <v/>
      </c>
      <c r="H23" s="16">
        <f>IF(D23&gt;0, E23/(D23*C23*1000), 0)</f>
        <v/>
      </c>
    </row>
    <row r="24">
      <c r="A24">
        <f>'Import Data Entry'!A40</f>
        <v/>
      </c>
      <c r="B24">
        <f>'Import Data Entry'!B40</f>
        <v/>
      </c>
      <c r="C24" s="15">
        <f>'Import Data Entry'!C40/1000</f>
        <v/>
      </c>
      <c r="D24" s="9">
        <f>'Import Data Entry'!D40</f>
        <v/>
      </c>
      <c r="E24" s="4">
        <f>'Import Data Entry'!I40</f>
        <v/>
      </c>
      <c r="F24" s="4">
        <f>IF(C24&gt;0, E24/C24, 0)</f>
        <v/>
      </c>
      <c r="G24" s="16">
        <f>IF(C24&gt;0, E24/(C24*1000), 0)</f>
        <v/>
      </c>
      <c r="H24" s="16">
        <f>IF(D24&gt;0, E24/(D24*C24*1000), 0)</f>
        <v/>
      </c>
    </row>
    <row r="25">
      <c r="A25">
        <f>'Import Data Entry'!A41</f>
        <v/>
      </c>
      <c r="B25">
        <f>'Import Data Entry'!B41</f>
        <v/>
      </c>
      <c r="C25" s="15">
        <f>'Import Data Entry'!C41/1000</f>
        <v/>
      </c>
      <c r="D25" s="9">
        <f>'Import Data Entry'!D41</f>
        <v/>
      </c>
      <c r="E25" s="4">
        <f>'Import Data Entry'!I41</f>
        <v/>
      </c>
      <c r="F25" s="4">
        <f>IF(C25&gt;0, E25/C25, 0)</f>
        <v/>
      </c>
      <c r="G25" s="16">
        <f>IF(C25&gt;0, E25/(C25*1000), 0)</f>
        <v/>
      </c>
      <c r="H25" s="16">
        <f>IF(D25&gt;0, E25/(D25*C25*1000), 0)</f>
        <v/>
      </c>
    </row>
    <row r="26">
      <c r="A26">
        <f>'Import Data Entry'!A42</f>
        <v/>
      </c>
      <c r="B26">
        <f>'Import Data Entry'!B42</f>
        <v/>
      </c>
      <c r="C26" s="15">
        <f>'Import Data Entry'!C42/1000</f>
        <v/>
      </c>
      <c r="D26" s="9">
        <f>'Import Data Entry'!D42</f>
        <v/>
      </c>
      <c r="E26" s="4">
        <f>'Import Data Entry'!I42</f>
        <v/>
      </c>
      <c r="F26" s="4">
        <f>IF(C26&gt;0, E26/C26, 0)</f>
        <v/>
      </c>
      <c r="G26" s="16">
        <f>IF(C26&gt;0, E26/(C26*1000), 0)</f>
        <v/>
      </c>
      <c r="H26" s="16">
        <f>IF(D26&gt;0, E26/(D26*C26*1000), 0)</f>
        <v/>
      </c>
    </row>
    <row r="27">
      <c r="A27">
        <f>'Import Data Entry'!A43</f>
        <v/>
      </c>
      <c r="B27">
        <f>'Import Data Entry'!B43</f>
        <v/>
      </c>
      <c r="C27" s="15">
        <f>'Import Data Entry'!C43/1000</f>
        <v/>
      </c>
      <c r="D27" s="9">
        <f>'Import Data Entry'!D43</f>
        <v/>
      </c>
      <c r="E27" s="4">
        <f>'Import Data Entry'!I43</f>
        <v/>
      </c>
      <c r="F27" s="4">
        <f>IF(C27&gt;0, E27/C27, 0)</f>
        <v/>
      </c>
      <c r="G27" s="16">
        <f>IF(C27&gt;0, E27/(C27*1000), 0)</f>
        <v/>
      </c>
      <c r="H27" s="16">
        <f>IF(D27&gt;0, E27/(D27*C27*1000), 0)</f>
        <v/>
      </c>
    </row>
    <row r="28">
      <c r="A28">
        <f>'Import Data Entry'!A44</f>
        <v/>
      </c>
      <c r="B28">
        <f>'Import Data Entry'!B44</f>
        <v/>
      </c>
      <c r="C28" s="15">
        <f>'Import Data Entry'!C44/1000</f>
        <v/>
      </c>
      <c r="D28" s="9">
        <f>'Import Data Entry'!D44</f>
        <v/>
      </c>
      <c r="E28" s="4">
        <f>'Import Data Entry'!I44</f>
        <v/>
      </c>
      <c r="F28" s="4">
        <f>IF(C28&gt;0, E28/C28, 0)</f>
        <v/>
      </c>
      <c r="G28" s="16">
        <f>IF(C28&gt;0, E28/(C28*1000), 0)</f>
        <v/>
      </c>
      <c r="H28" s="16">
        <f>IF(D28&gt;0, E28/(D28*C28*1000), 0)</f>
        <v/>
      </c>
    </row>
    <row r="29">
      <c r="A29">
        <f>'Import Data Entry'!A45</f>
        <v/>
      </c>
      <c r="B29">
        <f>'Import Data Entry'!B45</f>
        <v/>
      </c>
      <c r="C29" s="15">
        <f>'Import Data Entry'!C45/1000</f>
        <v/>
      </c>
      <c r="D29" s="9">
        <f>'Import Data Entry'!D45</f>
        <v/>
      </c>
      <c r="E29" s="4">
        <f>'Import Data Entry'!I45</f>
        <v/>
      </c>
      <c r="F29" s="4">
        <f>IF(C29&gt;0, E29/C29, 0)</f>
        <v/>
      </c>
      <c r="G29" s="16">
        <f>IF(C29&gt;0, E29/(C29*1000), 0)</f>
        <v/>
      </c>
      <c r="H29" s="16">
        <f>IF(D29&gt;0, E29/(D29*C29*1000), 0)</f>
        <v/>
      </c>
    </row>
    <row r="30">
      <c r="A30">
        <f>'Import Data Entry'!A46</f>
        <v/>
      </c>
      <c r="B30">
        <f>'Import Data Entry'!B46</f>
        <v/>
      </c>
      <c r="C30" s="15">
        <f>'Import Data Entry'!C46/1000</f>
        <v/>
      </c>
      <c r="D30" s="9">
        <f>'Import Data Entry'!D46</f>
        <v/>
      </c>
      <c r="E30" s="4">
        <f>'Import Data Entry'!I46</f>
        <v/>
      </c>
      <c r="F30" s="4">
        <f>IF(C30&gt;0, E30/C30, 0)</f>
        <v/>
      </c>
      <c r="G30" s="16">
        <f>IF(C30&gt;0, E30/(C30*1000), 0)</f>
        <v/>
      </c>
      <c r="H30" s="16">
        <f>IF(D30&gt;0, E30/(D30*C30*1000), 0)</f>
        <v/>
      </c>
    </row>
    <row r="31">
      <c r="A31">
        <f>'Import Data Entry'!A47</f>
        <v/>
      </c>
      <c r="B31">
        <f>'Import Data Entry'!B47</f>
        <v/>
      </c>
      <c r="C31" s="15">
        <f>'Import Data Entry'!C47/1000</f>
        <v/>
      </c>
      <c r="D31" s="9">
        <f>'Import Data Entry'!D47</f>
        <v/>
      </c>
      <c r="E31" s="4">
        <f>'Import Data Entry'!I47</f>
        <v/>
      </c>
      <c r="F31" s="4">
        <f>IF(C31&gt;0, E31/C31, 0)</f>
        <v/>
      </c>
      <c r="G31" s="16">
        <f>IF(C31&gt;0, E31/(C31*1000), 0)</f>
        <v/>
      </c>
      <c r="H31" s="16">
        <f>IF(D31&gt;0, E31/(D31*C31*1000), 0)</f>
        <v/>
      </c>
    </row>
    <row r="32">
      <c r="A32">
        <f>'Import Data Entry'!A48</f>
        <v/>
      </c>
      <c r="B32">
        <f>'Import Data Entry'!B48</f>
        <v/>
      </c>
      <c r="C32" s="15">
        <f>'Import Data Entry'!C48/1000</f>
        <v/>
      </c>
      <c r="D32" s="9">
        <f>'Import Data Entry'!D48</f>
        <v/>
      </c>
      <c r="E32" s="4">
        <f>'Import Data Entry'!I48</f>
        <v/>
      </c>
      <c r="F32" s="4">
        <f>IF(C32&gt;0, E32/C32, 0)</f>
        <v/>
      </c>
      <c r="G32" s="16">
        <f>IF(C32&gt;0, E32/(C32*1000), 0)</f>
        <v/>
      </c>
      <c r="H32" s="16">
        <f>IF(D32&gt;0, E32/(D32*C32*1000), 0)</f>
        <v/>
      </c>
    </row>
    <row r="33">
      <c r="A33">
        <f>'Import Data Entry'!A49</f>
        <v/>
      </c>
      <c r="B33">
        <f>'Import Data Entry'!B49</f>
        <v/>
      </c>
      <c r="C33" s="15">
        <f>'Import Data Entry'!C49/1000</f>
        <v/>
      </c>
      <c r="D33" s="9">
        <f>'Import Data Entry'!D49</f>
        <v/>
      </c>
      <c r="E33" s="4">
        <f>'Import Data Entry'!I49</f>
        <v/>
      </c>
      <c r="F33" s="4">
        <f>IF(C33&gt;0, E33/C33, 0)</f>
        <v/>
      </c>
      <c r="G33" s="16">
        <f>IF(C33&gt;0, E33/(C33*1000), 0)</f>
        <v/>
      </c>
      <c r="H33" s="16">
        <f>IF(D33&gt;0, E33/(D33*C33*1000), 0)</f>
        <v/>
      </c>
    </row>
    <row r="34">
      <c r="A34">
        <f>'Import Data Entry'!A50</f>
        <v/>
      </c>
      <c r="B34">
        <f>'Import Data Entry'!B50</f>
        <v/>
      </c>
      <c r="C34" s="15">
        <f>'Import Data Entry'!C50/1000</f>
        <v/>
      </c>
      <c r="D34" s="9">
        <f>'Import Data Entry'!D50</f>
        <v/>
      </c>
      <c r="E34" s="4">
        <f>'Import Data Entry'!I50</f>
        <v/>
      </c>
      <c r="F34" s="4">
        <f>IF(C34&gt;0, E34/C34, 0)</f>
        <v/>
      </c>
      <c r="G34" s="16">
        <f>IF(C34&gt;0, E34/(C34*1000), 0)</f>
        <v/>
      </c>
      <c r="H34" s="16">
        <f>IF(D34&gt;0, E34/(D34*C34*1000), 0)</f>
        <v/>
      </c>
    </row>
    <row r="35">
      <c r="A35">
        <f>'Import Data Entry'!A51</f>
        <v/>
      </c>
      <c r="B35">
        <f>'Import Data Entry'!B51</f>
        <v/>
      </c>
      <c r="C35" s="15">
        <f>'Import Data Entry'!C51/1000</f>
        <v/>
      </c>
      <c r="D35" s="9">
        <f>'Import Data Entry'!D51</f>
        <v/>
      </c>
      <c r="E35" s="4">
        <f>'Import Data Entry'!I51</f>
        <v/>
      </c>
      <c r="F35" s="4">
        <f>IF(C35&gt;0, E35/C35, 0)</f>
        <v/>
      </c>
      <c r="G35" s="16">
        <f>IF(C35&gt;0, E35/(C35*1000), 0)</f>
        <v/>
      </c>
      <c r="H35" s="16">
        <f>IF(D35&gt;0, E35/(D35*C35*1000), 0)</f>
        <v/>
      </c>
    </row>
    <row r="36">
      <c r="A36">
        <f>'Import Data Entry'!A52</f>
        <v/>
      </c>
      <c r="B36">
        <f>'Import Data Entry'!B52</f>
        <v/>
      </c>
      <c r="C36" s="15">
        <f>'Import Data Entry'!C52/1000</f>
        <v/>
      </c>
      <c r="D36" s="9">
        <f>'Import Data Entry'!D52</f>
        <v/>
      </c>
      <c r="E36" s="4">
        <f>'Import Data Entry'!I52</f>
        <v/>
      </c>
      <c r="F36" s="4">
        <f>IF(C36&gt;0, E36/C36, 0)</f>
        <v/>
      </c>
      <c r="G36" s="16">
        <f>IF(C36&gt;0, E36/(C36*1000), 0)</f>
        <v/>
      </c>
      <c r="H36" s="16">
        <f>IF(D36&gt;0, E36/(D36*C36*1000), 0)</f>
        <v/>
      </c>
    </row>
    <row r="37">
      <c r="A37">
        <f>'Import Data Entry'!A53</f>
        <v/>
      </c>
      <c r="B37">
        <f>'Import Data Entry'!B53</f>
        <v/>
      </c>
      <c r="C37" s="15">
        <f>'Import Data Entry'!C53/1000</f>
        <v/>
      </c>
      <c r="D37" s="9">
        <f>'Import Data Entry'!D53</f>
        <v/>
      </c>
      <c r="E37" s="4">
        <f>'Import Data Entry'!I53</f>
        <v/>
      </c>
      <c r="F37" s="4">
        <f>IF(C37&gt;0, E37/C37, 0)</f>
        <v/>
      </c>
      <c r="G37" s="16">
        <f>IF(C37&gt;0, E37/(C37*1000), 0)</f>
        <v/>
      </c>
      <c r="H37" s="16">
        <f>IF(D37&gt;0, E37/(D37*C37*1000), 0)</f>
        <v/>
      </c>
    </row>
    <row r="38">
      <c r="A38">
        <f>'Import Data Entry'!A54</f>
        <v/>
      </c>
      <c r="B38">
        <f>'Import Data Entry'!B54</f>
        <v/>
      </c>
      <c r="C38" s="15">
        <f>'Import Data Entry'!C54/1000</f>
        <v/>
      </c>
      <c r="D38" s="9">
        <f>'Import Data Entry'!D54</f>
        <v/>
      </c>
      <c r="E38" s="4">
        <f>'Import Data Entry'!I54</f>
        <v/>
      </c>
      <c r="F38" s="4">
        <f>IF(C38&gt;0, E38/C38, 0)</f>
        <v/>
      </c>
      <c r="G38" s="16">
        <f>IF(C38&gt;0, E38/(C38*1000), 0)</f>
        <v/>
      </c>
      <c r="H38" s="16">
        <f>IF(D38&gt;0, E38/(D38*C38*1000), 0)</f>
        <v/>
      </c>
    </row>
    <row r="39">
      <c r="A39">
        <f>'Import Data Entry'!A55</f>
        <v/>
      </c>
      <c r="B39">
        <f>'Import Data Entry'!B55</f>
        <v/>
      </c>
      <c r="C39" s="15">
        <f>'Import Data Entry'!C55/1000</f>
        <v/>
      </c>
      <c r="D39" s="9">
        <f>'Import Data Entry'!D55</f>
        <v/>
      </c>
      <c r="E39" s="4">
        <f>'Import Data Entry'!I55</f>
        <v/>
      </c>
      <c r="F39" s="4">
        <f>IF(C39&gt;0, E39/C39, 0)</f>
        <v/>
      </c>
      <c r="G39" s="16">
        <f>IF(C39&gt;0, E39/(C39*1000), 0)</f>
        <v/>
      </c>
      <c r="H39" s="16">
        <f>IF(D39&gt;0, E39/(D39*C39*1000), 0)</f>
        <v/>
      </c>
    </row>
    <row r="40">
      <c r="A40">
        <f>'Import Data Entry'!A56</f>
        <v/>
      </c>
      <c r="B40">
        <f>'Import Data Entry'!B56</f>
        <v/>
      </c>
      <c r="C40" s="15">
        <f>'Import Data Entry'!C56/1000</f>
        <v/>
      </c>
      <c r="D40" s="9">
        <f>'Import Data Entry'!D56</f>
        <v/>
      </c>
      <c r="E40" s="4">
        <f>'Import Data Entry'!I56</f>
        <v/>
      </c>
      <c r="F40" s="4">
        <f>IF(C40&gt;0, E40/C40, 0)</f>
        <v/>
      </c>
      <c r="G40" s="16">
        <f>IF(C40&gt;0, E40/(C40*1000), 0)</f>
        <v/>
      </c>
      <c r="H40" s="16">
        <f>IF(D40&gt;0, E40/(D40*C40*1000), 0)</f>
        <v/>
      </c>
    </row>
    <row r="41">
      <c r="A41">
        <f>'Import Data Entry'!A57</f>
        <v/>
      </c>
      <c r="B41">
        <f>'Import Data Entry'!B57</f>
        <v/>
      </c>
      <c r="C41" s="15">
        <f>'Import Data Entry'!C57/1000</f>
        <v/>
      </c>
      <c r="D41" s="9">
        <f>'Import Data Entry'!D57</f>
        <v/>
      </c>
      <c r="E41" s="4">
        <f>'Import Data Entry'!I57</f>
        <v/>
      </c>
      <c r="F41" s="4">
        <f>IF(C41&gt;0, E41/C41, 0)</f>
        <v/>
      </c>
      <c r="G41" s="16">
        <f>IF(C41&gt;0, E41/(C41*1000), 0)</f>
        <v/>
      </c>
      <c r="H41" s="16">
        <f>IF(D41&gt;0, E41/(D41*C41*1000), 0)</f>
        <v/>
      </c>
    </row>
    <row r="42">
      <c r="A42">
        <f>'Import Data Entry'!A58</f>
        <v/>
      </c>
      <c r="B42">
        <f>'Import Data Entry'!B58</f>
        <v/>
      </c>
      <c r="C42" s="15">
        <f>'Import Data Entry'!C58/1000</f>
        <v/>
      </c>
      <c r="D42" s="9">
        <f>'Import Data Entry'!D58</f>
        <v/>
      </c>
      <c r="E42" s="4">
        <f>'Import Data Entry'!I58</f>
        <v/>
      </c>
      <c r="F42" s="4">
        <f>IF(C42&gt;0, E42/C42, 0)</f>
        <v/>
      </c>
      <c r="G42" s="16">
        <f>IF(C42&gt;0, E42/(C42*1000), 0)</f>
        <v/>
      </c>
      <c r="H42" s="16">
        <f>IF(D42&gt;0, E42/(D42*C42*1000), 0)</f>
        <v/>
      </c>
    </row>
    <row r="43">
      <c r="A43">
        <f>'Import Data Entry'!A59</f>
        <v/>
      </c>
      <c r="B43">
        <f>'Import Data Entry'!B59</f>
        <v/>
      </c>
      <c r="C43" s="15">
        <f>'Import Data Entry'!C59/1000</f>
        <v/>
      </c>
      <c r="D43" s="9">
        <f>'Import Data Entry'!D59</f>
        <v/>
      </c>
      <c r="E43" s="4">
        <f>'Import Data Entry'!I59</f>
        <v/>
      </c>
      <c r="F43" s="4">
        <f>IF(C43&gt;0, E43/C43, 0)</f>
        <v/>
      </c>
      <c r="G43" s="16">
        <f>IF(C43&gt;0, E43/(C43*1000), 0)</f>
        <v/>
      </c>
      <c r="H43" s="16">
        <f>IF(D43&gt;0, E43/(D43*C43*1000), 0)</f>
        <v/>
      </c>
    </row>
    <row r="44">
      <c r="A44">
        <f>'Import Data Entry'!A60</f>
        <v/>
      </c>
      <c r="B44">
        <f>'Import Data Entry'!B60</f>
        <v/>
      </c>
      <c r="C44" s="15">
        <f>'Import Data Entry'!C60/1000</f>
        <v/>
      </c>
      <c r="D44" s="9">
        <f>'Import Data Entry'!D60</f>
        <v/>
      </c>
      <c r="E44" s="4">
        <f>'Import Data Entry'!I60</f>
        <v/>
      </c>
      <c r="F44" s="4">
        <f>IF(C44&gt;0, E44/C44, 0)</f>
        <v/>
      </c>
      <c r="G44" s="16">
        <f>IF(C44&gt;0, E44/(C44*1000), 0)</f>
        <v/>
      </c>
      <c r="H44" s="16">
        <f>IF(D44&gt;0, E44/(D44*C44*1000), 0)</f>
        <v/>
      </c>
    </row>
    <row r="45">
      <c r="A45">
        <f>'Import Data Entry'!A61</f>
        <v/>
      </c>
      <c r="B45">
        <f>'Import Data Entry'!B61</f>
        <v/>
      </c>
      <c r="C45" s="15">
        <f>'Import Data Entry'!C61/1000</f>
        <v/>
      </c>
      <c r="D45" s="9">
        <f>'Import Data Entry'!D61</f>
        <v/>
      </c>
      <c r="E45" s="4">
        <f>'Import Data Entry'!I61</f>
        <v/>
      </c>
      <c r="F45" s="4">
        <f>IF(C45&gt;0, E45/C45, 0)</f>
        <v/>
      </c>
      <c r="G45" s="16">
        <f>IF(C45&gt;0, E45/(C45*1000), 0)</f>
        <v/>
      </c>
      <c r="H45" s="16">
        <f>IF(D45&gt;0, E45/(D45*C45*1000), 0)</f>
        <v/>
      </c>
    </row>
    <row r="46">
      <c r="A46">
        <f>'Import Data Entry'!A62</f>
        <v/>
      </c>
      <c r="B46">
        <f>'Import Data Entry'!B62</f>
        <v/>
      </c>
      <c r="C46" s="15">
        <f>'Import Data Entry'!C62/1000</f>
        <v/>
      </c>
      <c r="D46" s="9">
        <f>'Import Data Entry'!D62</f>
        <v/>
      </c>
      <c r="E46" s="4">
        <f>'Import Data Entry'!I62</f>
        <v/>
      </c>
      <c r="F46" s="4">
        <f>IF(C46&gt;0, E46/C46, 0)</f>
        <v/>
      </c>
      <c r="G46" s="16">
        <f>IF(C46&gt;0, E46/(C46*1000), 0)</f>
        <v/>
      </c>
      <c r="H46" s="16">
        <f>IF(D46&gt;0, E46/(D46*C46*1000), 0)</f>
        <v/>
      </c>
    </row>
    <row r="47">
      <c r="A47">
        <f>'Import Data Entry'!A63</f>
        <v/>
      </c>
      <c r="B47">
        <f>'Import Data Entry'!B63</f>
        <v/>
      </c>
      <c r="C47" s="15">
        <f>'Import Data Entry'!C63/1000</f>
        <v/>
      </c>
      <c r="D47" s="9">
        <f>'Import Data Entry'!D63</f>
        <v/>
      </c>
      <c r="E47" s="4">
        <f>'Import Data Entry'!I63</f>
        <v/>
      </c>
      <c r="F47" s="4">
        <f>IF(C47&gt;0, E47/C47, 0)</f>
        <v/>
      </c>
      <c r="G47" s="16">
        <f>IF(C47&gt;0, E47/(C47*1000), 0)</f>
        <v/>
      </c>
      <c r="H47" s="16">
        <f>IF(D47&gt;0, E47/(D47*C47*1000), 0)</f>
        <v/>
      </c>
    </row>
    <row r="48">
      <c r="A48">
        <f>'Import Data Entry'!A64</f>
        <v/>
      </c>
      <c r="B48">
        <f>'Import Data Entry'!B64</f>
        <v/>
      </c>
      <c r="C48" s="15">
        <f>'Import Data Entry'!C64/1000</f>
        <v/>
      </c>
      <c r="D48" s="9">
        <f>'Import Data Entry'!D64</f>
        <v/>
      </c>
      <c r="E48" s="4">
        <f>'Import Data Entry'!I64</f>
        <v/>
      </c>
      <c r="F48" s="4">
        <f>IF(C48&gt;0, E48/C48, 0)</f>
        <v/>
      </c>
      <c r="G48" s="16">
        <f>IF(C48&gt;0, E48/(C48*1000), 0)</f>
        <v/>
      </c>
      <c r="H48" s="16">
        <f>IF(D48&gt;0, E48/(D48*C48*1000), 0)</f>
        <v/>
      </c>
    </row>
    <row r="49">
      <c r="A49">
        <f>'Import Data Entry'!A65</f>
        <v/>
      </c>
      <c r="B49">
        <f>'Import Data Entry'!B65</f>
        <v/>
      </c>
      <c r="C49" s="15">
        <f>'Import Data Entry'!C65/1000</f>
        <v/>
      </c>
      <c r="D49" s="9">
        <f>'Import Data Entry'!D65</f>
        <v/>
      </c>
      <c r="E49" s="4">
        <f>'Import Data Entry'!I65</f>
        <v/>
      </c>
      <c r="F49" s="4">
        <f>IF(C49&gt;0, E49/C49, 0)</f>
        <v/>
      </c>
      <c r="G49" s="16">
        <f>IF(C49&gt;0, E49/(C49*1000), 0)</f>
        <v/>
      </c>
      <c r="H49" s="16">
        <f>IF(D49&gt;0, E49/(D49*C49*1000), 0)</f>
        <v/>
      </c>
    </row>
    <row r="50">
      <c r="A50">
        <f>'Import Data Entry'!A66</f>
        <v/>
      </c>
      <c r="B50">
        <f>'Import Data Entry'!B66</f>
        <v/>
      </c>
      <c r="C50" s="15">
        <f>'Import Data Entry'!C66/1000</f>
        <v/>
      </c>
      <c r="D50" s="9">
        <f>'Import Data Entry'!D66</f>
        <v/>
      </c>
      <c r="E50" s="4">
        <f>'Import Data Entry'!I66</f>
        <v/>
      </c>
      <c r="F50" s="4">
        <f>IF(C50&gt;0, E50/C50, 0)</f>
        <v/>
      </c>
      <c r="G50" s="16">
        <f>IF(C50&gt;0, E50/(C50*1000), 0)</f>
        <v/>
      </c>
      <c r="H50" s="16">
        <f>IF(D50&gt;0, E50/(D50*C50*1000), 0)</f>
        <v/>
      </c>
    </row>
    <row r="51">
      <c r="A51">
        <f>'Import Data Entry'!A67</f>
        <v/>
      </c>
      <c r="B51">
        <f>'Import Data Entry'!B67</f>
        <v/>
      </c>
      <c r="C51" s="15">
        <f>'Import Data Entry'!C67/1000</f>
        <v/>
      </c>
      <c r="D51" s="9">
        <f>'Import Data Entry'!D67</f>
        <v/>
      </c>
      <c r="E51" s="4">
        <f>'Import Data Entry'!I67</f>
        <v/>
      </c>
      <c r="F51" s="4">
        <f>IF(C51&gt;0, E51/C51, 0)</f>
        <v/>
      </c>
      <c r="G51" s="16">
        <f>IF(C51&gt;0, E51/(C51*1000), 0)</f>
        <v/>
      </c>
      <c r="H51" s="16">
        <f>IF(D51&gt;0, E51/(D51*C51*1000), 0)</f>
        <v/>
      </c>
    </row>
    <row r="52">
      <c r="A52">
        <f>'Import Data Entry'!A68</f>
        <v/>
      </c>
      <c r="B52">
        <f>'Import Data Entry'!B68</f>
        <v/>
      </c>
      <c r="C52" s="15">
        <f>'Import Data Entry'!C68/1000</f>
        <v/>
      </c>
      <c r="D52" s="9">
        <f>'Import Data Entry'!D68</f>
        <v/>
      </c>
      <c r="E52" s="4">
        <f>'Import Data Entry'!I68</f>
        <v/>
      </c>
      <c r="F52" s="4">
        <f>IF(C52&gt;0, E52/C52, 0)</f>
        <v/>
      </c>
      <c r="G52" s="16">
        <f>IF(C52&gt;0, E52/(C52*1000), 0)</f>
        <v/>
      </c>
      <c r="H52" s="16">
        <f>IF(D52&gt;0, E52/(D52*C52*1000), 0)</f>
        <v/>
      </c>
    </row>
    <row r="53">
      <c r="A53">
        <f>'Import Data Entry'!A69</f>
        <v/>
      </c>
      <c r="B53">
        <f>'Import Data Entry'!B69</f>
        <v/>
      </c>
      <c r="C53" s="15">
        <f>'Import Data Entry'!C69/1000</f>
        <v/>
      </c>
      <c r="D53" s="9">
        <f>'Import Data Entry'!D69</f>
        <v/>
      </c>
      <c r="E53" s="4">
        <f>'Import Data Entry'!I69</f>
        <v/>
      </c>
      <c r="F53" s="4">
        <f>IF(C53&gt;0, E53/C53, 0)</f>
        <v/>
      </c>
      <c r="G53" s="16">
        <f>IF(C53&gt;0, E53/(C53*1000), 0)</f>
        <v/>
      </c>
      <c r="H53" s="16">
        <f>IF(D53&gt;0, E53/(D53*C53*1000), 0)</f>
        <v/>
      </c>
    </row>
    <row r="54">
      <c r="A54">
        <f>'Import Data Entry'!A70</f>
        <v/>
      </c>
      <c r="B54">
        <f>'Import Data Entry'!B70</f>
        <v/>
      </c>
      <c r="C54" s="15">
        <f>'Import Data Entry'!C70/1000</f>
        <v/>
      </c>
      <c r="D54" s="9">
        <f>'Import Data Entry'!D70</f>
        <v/>
      </c>
      <c r="E54" s="4">
        <f>'Import Data Entry'!I70</f>
        <v/>
      </c>
      <c r="F54" s="4">
        <f>IF(C54&gt;0, E54/C54, 0)</f>
        <v/>
      </c>
      <c r="G54" s="16">
        <f>IF(C54&gt;0, E54/(C54*1000), 0)</f>
        <v/>
      </c>
      <c r="H54" s="16">
        <f>IF(D54&gt;0, E54/(D54*C54*1000), 0)</f>
        <v/>
      </c>
    </row>
    <row r="56">
      <c r="A56" s="2" t="inlineStr">
        <is>
          <t>TOTALS:</t>
        </is>
      </c>
      <c r="E56" s="5">
        <f>SUM(E5:E54)</f>
        <v/>
      </c>
    </row>
  </sheetData>
  <mergeCells count="1">
    <mergeCell ref="A1:J1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16" customWidth="1" min="5" max="5"/>
  </cols>
  <sheetData>
    <row r="1">
      <c r="A1" s="17" t="inlineStr">
        <is>
          <t>ERP IMPORT TEMPLATE - DO NOT MODIFY HEADERS</t>
        </is>
      </c>
    </row>
    <row r="2">
      <c r="A2" s="7" t="inlineStr">
        <is>
          <t>Part_Number</t>
        </is>
      </c>
      <c r="B2" s="7" t="inlineStr">
        <is>
          <t>DRM_Code</t>
        </is>
      </c>
      <c r="C2" s="7" t="inlineStr">
        <is>
          <t>Freight_Cost_Per_M</t>
        </is>
      </c>
      <c r="D2" s="7" t="inlineStr">
        <is>
          <t>Freight_Cost_Per_Unit</t>
        </is>
      </c>
      <c r="E2" s="7" t="inlineStr">
        <is>
          <t>Entry_Number</t>
        </is>
      </c>
    </row>
    <row r="3">
      <c r="A3">
        <f>'Freight Calculator'!A5</f>
        <v/>
      </c>
      <c r="B3">
        <f>'Freight Calculator'!I5</f>
        <v/>
      </c>
      <c r="C3" s="18">
        <f>ROUND('Freight Calculator'!F5,4)</f>
        <v/>
      </c>
      <c r="D3" s="19">
        <f>ROUND('Freight Calculator'!G5,6)</f>
        <v/>
      </c>
      <c r="E3">
        <f>'Import Data Entry'!B3</f>
        <v/>
      </c>
    </row>
    <row r="4">
      <c r="A4">
        <f>'Freight Calculator'!A6</f>
        <v/>
      </c>
      <c r="B4">
        <f>'Freight Calculator'!I6</f>
        <v/>
      </c>
      <c r="C4" s="18">
        <f>ROUND('Freight Calculator'!F6,4)</f>
        <v/>
      </c>
      <c r="D4" s="19">
        <f>ROUND('Freight Calculator'!G6,6)</f>
        <v/>
      </c>
      <c r="E4">
        <f>'Import Data Entry'!B3</f>
        <v/>
      </c>
    </row>
    <row r="5">
      <c r="A5">
        <f>'Freight Calculator'!A7</f>
        <v/>
      </c>
      <c r="B5">
        <f>'Freight Calculator'!I7</f>
        <v/>
      </c>
      <c r="C5" s="18">
        <f>ROUND('Freight Calculator'!F7,4)</f>
        <v/>
      </c>
      <c r="D5" s="19">
        <f>ROUND('Freight Calculator'!G7,6)</f>
        <v/>
      </c>
      <c r="E5">
        <f>'Import Data Entry'!B3</f>
        <v/>
      </c>
    </row>
    <row r="6">
      <c r="A6">
        <f>'Freight Calculator'!A8</f>
        <v/>
      </c>
      <c r="B6">
        <f>'Freight Calculator'!I8</f>
        <v/>
      </c>
      <c r="C6" s="18">
        <f>ROUND('Freight Calculator'!F8,4)</f>
        <v/>
      </c>
      <c r="D6" s="19">
        <f>ROUND('Freight Calculator'!G8,6)</f>
        <v/>
      </c>
      <c r="E6">
        <f>'Import Data Entry'!B3</f>
        <v/>
      </c>
    </row>
    <row r="7">
      <c r="A7">
        <f>'Freight Calculator'!A9</f>
        <v/>
      </c>
      <c r="B7">
        <f>'Freight Calculator'!I9</f>
        <v/>
      </c>
      <c r="C7" s="18">
        <f>ROUND('Freight Calculator'!F9,4)</f>
        <v/>
      </c>
      <c r="D7" s="19">
        <f>ROUND('Freight Calculator'!G9,6)</f>
        <v/>
      </c>
      <c r="E7">
        <f>'Import Data Entry'!B3</f>
        <v/>
      </c>
    </row>
    <row r="8">
      <c r="A8">
        <f>'Freight Calculator'!A10</f>
        <v/>
      </c>
      <c r="B8">
        <f>'Freight Calculator'!I10</f>
        <v/>
      </c>
      <c r="C8" s="18">
        <f>ROUND('Freight Calculator'!F10,4)</f>
        <v/>
      </c>
      <c r="D8" s="19">
        <f>ROUND('Freight Calculator'!G10,6)</f>
        <v/>
      </c>
      <c r="E8">
        <f>'Import Data Entry'!B3</f>
        <v/>
      </c>
    </row>
    <row r="9">
      <c r="A9">
        <f>'Freight Calculator'!A11</f>
        <v/>
      </c>
      <c r="B9">
        <f>'Freight Calculator'!I11</f>
        <v/>
      </c>
      <c r="C9" s="18">
        <f>ROUND('Freight Calculator'!F11,4)</f>
        <v/>
      </c>
      <c r="D9" s="19">
        <f>ROUND('Freight Calculator'!G11,6)</f>
        <v/>
      </c>
      <c r="E9">
        <f>'Import Data Entry'!B3</f>
        <v/>
      </c>
    </row>
    <row r="10">
      <c r="A10">
        <f>'Freight Calculator'!A12</f>
        <v/>
      </c>
      <c r="B10">
        <f>'Freight Calculator'!I12</f>
        <v/>
      </c>
      <c r="C10" s="18">
        <f>ROUND('Freight Calculator'!F12,4)</f>
        <v/>
      </c>
      <c r="D10" s="19">
        <f>ROUND('Freight Calculator'!G12,6)</f>
        <v/>
      </c>
      <c r="E10">
        <f>'Import Data Entry'!B3</f>
        <v/>
      </c>
    </row>
    <row r="11">
      <c r="A11">
        <f>'Freight Calculator'!A13</f>
        <v/>
      </c>
      <c r="B11">
        <f>'Freight Calculator'!I13</f>
        <v/>
      </c>
      <c r="C11" s="18">
        <f>ROUND('Freight Calculator'!F13,4)</f>
        <v/>
      </c>
      <c r="D11" s="19">
        <f>ROUND('Freight Calculator'!G13,6)</f>
        <v/>
      </c>
      <c r="E11">
        <f>'Import Data Entry'!B3</f>
        <v/>
      </c>
    </row>
    <row r="12">
      <c r="A12">
        <f>'Freight Calculator'!A14</f>
        <v/>
      </c>
      <c r="B12">
        <f>'Freight Calculator'!I14</f>
        <v/>
      </c>
      <c r="C12" s="18">
        <f>ROUND('Freight Calculator'!F14,4)</f>
        <v/>
      </c>
      <c r="D12" s="19">
        <f>ROUND('Freight Calculator'!G14,6)</f>
        <v/>
      </c>
      <c r="E12">
        <f>'Import Data Entry'!B3</f>
        <v/>
      </c>
    </row>
    <row r="13">
      <c r="A13">
        <f>'Freight Calculator'!A15</f>
        <v/>
      </c>
      <c r="B13">
        <f>'Freight Calculator'!I15</f>
        <v/>
      </c>
      <c r="C13" s="18">
        <f>ROUND('Freight Calculator'!F15,4)</f>
        <v/>
      </c>
      <c r="D13" s="19">
        <f>ROUND('Freight Calculator'!G15,6)</f>
        <v/>
      </c>
      <c r="E13">
        <f>'Import Data Entry'!B3</f>
        <v/>
      </c>
    </row>
    <row r="14">
      <c r="A14">
        <f>'Freight Calculator'!A16</f>
        <v/>
      </c>
      <c r="B14">
        <f>'Freight Calculator'!I16</f>
        <v/>
      </c>
      <c r="C14" s="18">
        <f>ROUND('Freight Calculator'!F16,4)</f>
        <v/>
      </c>
      <c r="D14" s="19">
        <f>ROUND('Freight Calculator'!G16,6)</f>
        <v/>
      </c>
      <c r="E14">
        <f>'Import Data Entry'!B3</f>
        <v/>
      </c>
    </row>
    <row r="15">
      <c r="A15">
        <f>'Freight Calculator'!A17</f>
        <v/>
      </c>
      <c r="B15">
        <f>'Freight Calculator'!I17</f>
        <v/>
      </c>
      <c r="C15" s="18">
        <f>ROUND('Freight Calculator'!F17,4)</f>
        <v/>
      </c>
      <c r="D15" s="19">
        <f>ROUND('Freight Calculator'!G17,6)</f>
        <v/>
      </c>
      <c r="E15">
        <f>'Import Data Entry'!B3</f>
        <v/>
      </c>
    </row>
    <row r="16">
      <c r="A16">
        <f>'Freight Calculator'!A18</f>
        <v/>
      </c>
      <c r="B16">
        <f>'Freight Calculator'!I18</f>
        <v/>
      </c>
      <c r="C16" s="18">
        <f>ROUND('Freight Calculator'!F18,4)</f>
        <v/>
      </c>
      <c r="D16" s="19">
        <f>ROUND('Freight Calculator'!G18,6)</f>
        <v/>
      </c>
      <c r="E16">
        <f>'Import Data Entry'!B3</f>
        <v/>
      </c>
    </row>
    <row r="17">
      <c r="A17">
        <f>'Freight Calculator'!A19</f>
        <v/>
      </c>
      <c r="B17">
        <f>'Freight Calculator'!I19</f>
        <v/>
      </c>
      <c r="C17" s="18">
        <f>ROUND('Freight Calculator'!F19,4)</f>
        <v/>
      </c>
      <c r="D17" s="19">
        <f>ROUND('Freight Calculator'!G19,6)</f>
        <v/>
      </c>
      <c r="E17">
        <f>'Import Data Entry'!B3</f>
        <v/>
      </c>
    </row>
    <row r="18">
      <c r="A18">
        <f>'Freight Calculator'!A20</f>
        <v/>
      </c>
      <c r="B18">
        <f>'Freight Calculator'!I20</f>
        <v/>
      </c>
      <c r="C18" s="18">
        <f>ROUND('Freight Calculator'!F20,4)</f>
        <v/>
      </c>
      <c r="D18" s="19">
        <f>ROUND('Freight Calculator'!G20,6)</f>
        <v/>
      </c>
      <c r="E18">
        <f>'Import Data Entry'!B3</f>
        <v/>
      </c>
    </row>
    <row r="19">
      <c r="A19">
        <f>'Freight Calculator'!A21</f>
        <v/>
      </c>
      <c r="B19">
        <f>'Freight Calculator'!I21</f>
        <v/>
      </c>
      <c r="C19" s="18">
        <f>ROUND('Freight Calculator'!F21,4)</f>
        <v/>
      </c>
      <c r="D19" s="19">
        <f>ROUND('Freight Calculator'!G21,6)</f>
        <v/>
      </c>
      <c r="E19">
        <f>'Import Data Entry'!B3</f>
        <v/>
      </c>
    </row>
    <row r="20">
      <c r="A20">
        <f>'Freight Calculator'!A22</f>
        <v/>
      </c>
      <c r="B20">
        <f>'Freight Calculator'!I22</f>
        <v/>
      </c>
      <c r="C20" s="18">
        <f>ROUND('Freight Calculator'!F22,4)</f>
        <v/>
      </c>
      <c r="D20" s="19">
        <f>ROUND('Freight Calculator'!G22,6)</f>
        <v/>
      </c>
      <c r="E20">
        <f>'Import Data Entry'!B3</f>
        <v/>
      </c>
    </row>
    <row r="21">
      <c r="A21">
        <f>'Freight Calculator'!A23</f>
        <v/>
      </c>
      <c r="B21">
        <f>'Freight Calculator'!I23</f>
        <v/>
      </c>
      <c r="C21" s="18">
        <f>ROUND('Freight Calculator'!F23,4)</f>
        <v/>
      </c>
      <c r="D21" s="19">
        <f>ROUND('Freight Calculator'!G23,6)</f>
        <v/>
      </c>
      <c r="E21">
        <f>'Import Data Entry'!B3</f>
        <v/>
      </c>
    </row>
    <row r="22">
      <c r="A22">
        <f>'Freight Calculator'!A24</f>
        <v/>
      </c>
      <c r="B22">
        <f>'Freight Calculator'!I24</f>
        <v/>
      </c>
      <c r="C22" s="18">
        <f>ROUND('Freight Calculator'!F24,4)</f>
        <v/>
      </c>
      <c r="D22" s="19">
        <f>ROUND('Freight Calculator'!G24,6)</f>
        <v/>
      </c>
      <c r="E22">
        <f>'Import Data Entry'!B3</f>
        <v/>
      </c>
    </row>
    <row r="23">
      <c r="A23">
        <f>'Freight Calculator'!A25</f>
        <v/>
      </c>
      <c r="B23">
        <f>'Freight Calculator'!I25</f>
        <v/>
      </c>
      <c r="C23" s="18">
        <f>ROUND('Freight Calculator'!F25,4)</f>
        <v/>
      </c>
      <c r="D23" s="19">
        <f>ROUND('Freight Calculator'!G25,6)</f>
        <v/>
      </c>
      <c r="E23">
        <f>'Import Data Entry'!B3</f>
        <v/>
      </c>
    </row>
    <row r="24">
      <c r="A24">
        <f>'Freight Calculator'!A26</f>
        <v/>
      </c>
      <c r="B24">
        <f>'Freight Calculator'!I26</f>
        <v/>
      </c>
      <c r="C24" s="18">
        <f>ROUND('Freight Calculator'!F26,4)</f>
        <v/>
      </c>
      <c r="D24" s="19">
        <f>ROUND('Freight Calculator'!G26,6)</f>
        <v/>
      </c>
      <c r="E24">
        <f>'Import Data Entry'!B3</f>
        <v/>
      </c>
    </row>
    <row r="25">
      <c r="A25">
        <f>'Freight Calculator'!A27</f>
        <v/>
      </c>
      <c r="B25">
        <f>'Freight Calculator'!I27</f>
        <v/>
      </c>
      <c r="C25" s="18">
        <f>ROUND('Freight Calculator'!F27,4)</f>
        <v/>
      </c>
      <c r="D25" s="19">
        <f>ROUND('Freight Calculator'!G27,6)</f>
        <v/>
      </c>
      <c r="E25">
        <f>'Import Data Entry'!B3</f>
        <v/>
      </c>
    </row>
    <row r="26">
      <c r="A26">
        <f>'Freight Calculator'!A28</f>
        <v/>
      </c>
      <c r="B26">
        <f>'Freight Calculator'!I28</f>
        <v/>
      </c>
      <c r="C26" s="18">
        <f>ROUND('Freight Calculator'!F28,4)</f>
        <v/>
      </c>
      <c r="D26" s="19">
        <f>ROUND('Freight Calculator'!G28,6)</f>
        <v/>
      </c>
      <c r="E26">
        <f>'Import Data Entry'!B3</f>
        <v/>
      </c>
    </row>
    <row r="27">
      <c r="A27">
        <f>'Freight Calculator'!A29</f>
        <v/>
      </c>
      <c r="B27">
        <f>'Freight Calculator'!I29</f>
        <v/>
      </c>
      <c r="C27" s="18">
        <f>ROUND('Freight Calculator'!F29,4)</f>
        <v/>
      </c>
      <c r="D27" s="19">
        <f>ROUND('Freight Calculator'!G29,6)</f>
        <v/>
      </c>
      <c r="E27">
        <f>'Import Data Entry'!B3</f>
        <v/>
      </c>
    </row>
    <row r="28">
      <c r="A28">
        <f>'Freight Calculator'!A30</f>
        <v/>
      </c>
      <c r="B28">
        <f>'Freight Calculator'!I30</f>
        <v/>
      </c>
      <c r="C28" s="18">
        <f>ROUND('Freight Calculator'!F30,4)</f>
        <v/>
      </c>
      <c r="D28" s="19">
        <f>ROUND('Freight Calculator'!G30,6)</f>
        <v/>
      </c>
      <c r="E28">
        <f>'Import Data Entry'!B3</f>
        <v/>
      </c>
    </row>
    <row r="29">
      <c r="A29">
        <f>'Freight Calculator'!A31</f>
        <v/>
      </c>
      <c r="B29">
        <f>'Freight Calculator'!I31</f>
        <v/>
      </c>
      <c r="C29" s="18">
        <f>ROUND('Freight Calculator'!F31,4)</f>
        <v/>
      </c>
      <c r="D29" s="19">
        <f>ROUND('Freight Calculator'!G31,6)</f>
        <v/>
      </c>
      <c r="E29">
        <f>'Import Data Entry'!B3</f>
        <v/>
      </c>
    </row>
    <row r="30">
      <c r="A30">
        <f>'Freight Calculator'!A32</f>
        <v/>
      </c>
      <c r="B30">
        <f>'Freight Calculator'!I32</f>
        <v/>
      </c>
      <c r="C30" s="18">
        <f>ROUND('Freight Calculator'!F32,4)</f>
        <v/>
      </c>
      <c r="D30" s="19">
        <f>ROUND('Freight Calculator'!G32,6)</f>
        <v/>
      </c>
      <c r="E30">
        <f>'Import Data Entry'!B3</f>
        <v/>
      </c>
    </row>
    <row r="31">
      <c r="A31">
        <f>'Freight Calculator'!A33</f>
        <v/>
      </c>
      <c r="B31">
        <f>'Freight Calculator'!I33</f>
        <v/>
      </c>
      <c r="C31" s="18">
        <f>ROUND('Freight Calculator'!F33,4)</f>
        <v/>
      </c>
      <c r="D31" s="19">
        <f>ROUND('Freight Calculator'!G33,6)</f>
        <v/>
      </c>
      <c r="E31">
        <f>'Import Data Entry'!B3</f>
        <v/>
      </c>
    </row>
    <row r="32">
      <c r="A32">
        <f>'Freight Calculator'!A34</f>
        <v/>
      </c>
      <c r="B32">
        <f>'Freight Calculator'!I34</f>
        <v/>
      </c>
      <c r="C32" s="18">
        <f>ROUND('Freight Calculator'!F34,4)</f>
        <v/>
      </c>
      <c r="D32" s="19">
        <f>ROUND('Freight Calculator'!G34,6)</f>
        <v/>
      </c>
      <c r="E32">
        <f>'Import Data Entry'!B3</f>
        <v/>
      </c>
    </row>
    <row r="33">
      <c r="A33">
        <f>'Freight Calculator'!A35</f>
        <v/>
      </c>
      <c r="B33">
        <f>'Freight Calculator'!I35</f>
        <v/>
      </c>
      <c r="C33" s="18">
        <f>ROUND('Freight Calculator'!F35,4)</f>
        <v/>
      </c>
      <c r="D33" s="19">
        <f>ROUND('Freight Calculator'!G35,6)</f>
        <v/>
      </c>
      <c r="E33">
        <f>'Import Data Entry'!B3</f>
        <v/>
      </c>
    </row>
    <row r="34">
      <c r="A34">
        <f>'Freight Calculator'!A36</f>
        <v/>
      </c>
      <c r="B34">
        <f>'Freight Calculator'!I36</f>
        <v/>
      </c>
      <c r="C34" s="18">
        <f>ROUND('Freight Calculator'!F36,4)</f>
        <v/>
      </c>
      <c r="D34" s="19">
        <f>ROUND('Freight Calculator'!G36,6)</f>
        <v/>
      </c>
      <c r="E34">
        <f>'Import Data Entry'!B3</f>
        <v/>
      </c>
    </row>
    <row r="35">
      <c r="A35">
        <f>'Freight Calculator'!A37</f>
        <v/>
      </c>
      <c r="B35">
        <f>'Freight Calculator'!I37</f>
        <v/>
      </c>
      <c r="C35" s="18">
        <f>ROUND('Freight Calculator'!F37,4)</f>
        <v/>
      </c>
      <c r="D35" s="19">
        <f>ROUND('Freight Calculator'!G37,6)</f>
        <v/>
      </c>
      <c r="E35">
        <f>'Import Data Entry'!B3</f>
        <v/>
      </c>
    </row>
    <row r="36">
      <c r="A36">
        <f>'Freight Calculator'!A38</f>
        <v/>
      </c>
      <c r="B36">
        <f>'Freight Calculator'!I38</f>
        <v/>
      </c>
      <c r="C36" s="18">
        <f>ROUND('Freight Calculator'!F38,4)</f>
        <v/>
      </c>
      <c r="D36" s="19">
        <f>ROUND('Freight Calculator'!G38,6)</f>
        <v/>
      </c>
      <c r="E36">
        <f>'Import Data Entry'!B3</f>
        <v/>
      </c>
    </row>
    <row r="37">
      <c r="A37">
        <f>'Freight Calculator'!A39</f>
        <v/>
      </c>
      <c r="B37">
        <f>'Freight Calculator'!I39</f>
        <v/>
      </c>
      <c r="C37" s="18">
        <f>ROUND('Freight Calculator'!F39,4)</f>
        <v/>
      </c>
      <c r="D37" s="19">
        <f>ROUND('Freight Calculator'!G39,6)</f>
        <v/>
      </c>
      <c r="E37">
        <f>'Import Data Entry'!B3</f>
        <v/>
      </c>
    </row>
    <row r="38">
      <c r="A38">
        <f>'Freight Calculator'!A40</f>
        <v/>
      </c>
      <c r="B38">
        <f>'Freight Calculator'!I40</f>
        <v/>
      </c>
      <c r="C38" s="18">
        <f>ROUND('Freight Calculator'!F40,4)</f>
        <v/>
      </c>
      <c r="D38" s="19">
        <f>ROUND('Freight Calculator'!G40,6)</f>
        <v/>
      </c>
      <c r="E38">
        <f>'Import Data Entry'!B3</f>
        <v/>
      </c>
    </row>
    <row r="39">
      <c r="A39">
        <f>'Freight Calculator'!A41</f>
        <v/>
      </c>
      <c r="B39">
        <f>'Freight Calculator'!I41</f>
        <v/>
      </c>
      <c r="C39" s="18">
        <f>ROUND('Freight Calculator'!F41,4)</f>
        <v/>
      </c>
      <c r="D39" s="19">
        <f>ROUND('Freight Calculator'!G41,6)</f>
        <v/>
      </c>
      <c r="E39">
        <f>'Import Data Entry'!B3</f>
        <v/>
      </c>
    </row>
    <row r="40">
      <c r="A40">
        <f>'Freight Calculator'!A42</f>
        <v/>
      </c>
      <c r="B40">
        <f>'Freight Calculator'!I42</f>
        <v/>
      </c>
      <c r="C40" s="18">
        <f>ROUND('Freight Calculator'!F42,4)</f>
        <v/>
      </c>
      <c r="D40" s="19">
        <f>ROUND('Freight Calculator'!G42,6)</f>
        <v/>
      </c>
      <c r="E40">
        <f>'Import Data Entry'!B3</f>
        <v/>
      </c>
    </row>
    <row r="41">
      <c r="A41">
        <f>'Freight Calculator'!A43</f>
        <v/>
      </c>
      <c r="B41">
        <f>'Freight Calculator'!I43</f>
        <v/>
      </c>
      <c r="C41" s="18">
        <f>ROUND('Freight Calculator'!F43,4)</f>
        <v/>
      </c>
      <c r="D41" s="19">
        <f>ROUND('Freight Calculator'!G43,6)</f>
        <v/>
      </c>
      <c r="E41">
        <f>'Import Data Entry'!B3</f>
        <v/>
      </c>
    </row>
    <row r="42">
      <c r="A42">
        <f>'Freight Calculator'!A44</f>
        <v/>
      </c>
      <c r="B42">
        <f>'Freight Calculator'!I44</f>
        <v/>
      </c>
      <c r="C42" s="18">
        <f>ROUND('Freight Calculator'!F44,4)</f>
        <v/>
      </c>
      <c r="D42" s="19">
        <f>ROUND('Freight Calculator'!G44,6)</f>
        <v/>
      </c>
      <c r="E42">
        <f>'Import Data Entry'!B3</f>
        <v/>
      </c>
    </row>
    <row r="43">
      <c r="A43">
        <f>'Freight Calculator'!A45</f>
        <v/>
      </c>
      <c r="B43">
        <f>'Freight Calculator'!I45</f>
        <v/>
      </c>
      <c r="C43" s="18">
        <f>ROUND('Freight Calculator'!F45,4)</f>
        <v/>
      </c>
      <c r="D43" s="19">
        <f>ROUND('Freight Calculator'!G45,6)</f>
        <v/>
      </c>
      <c r="E43">
        <f>'Import Data Entry'!B3</f>
        <v/>
      </c>
    </row>
    <row r="44">
      <c r="A44">
        <f>'Freight Calculator'!A46</f>
        <v/>
      </c>
      <c r="B44">
        <f>'Freight Calculator'!I46</f>
        <v/>
      </c>
      <c r="C44" s="18">
        <f>ROUND('Freight Calculator'!F46,4)</f>
        <v/>
      </c>
      <c r="D44" s="19">
        <f>ROUND('Freight Calculator'!G46,6)</f>
        <v/>
      </c>
      <c r="E44">
        <f>'Import Data Entry'!B3</f>
        <v/>
      </c>
    </row>
    <row r="45">
      <c r="A45">
        <f>'Freight Calculator'!A47</f>
        <v/>
      </c>
      <c r="B45">
        <f>'Freight Calculator'!I47</f>
        <v/>
      </c>
      <c r="C45" s="18">
        <f>ROUND('Freight Calculator'!F47,4)</f>
        <v/>
      </c>
      <c r="D45" s="19">
        <f>ROUND('Freight Calculator'!G47,6)</f>
        <v/>
      </c>
      <c r="E45">
        <f>'Import Data Entry'!B3</f>
        <v/>
      </c>
    </row>
    <row r="46">
      <c r="A46">
        <f>'Freight Calculator'!A48</f>
        <v/>
      </c>
      <c r="B46">
        <f>'Freight Calculator'!I48</f>
        <v/>
      </c>
      <c r="C46" s="18">
        <f>ROUND('Freight Calculator'!F48,4)</f>
        <v/>
      </c>
      <c r="D46" s="19">
        <f>ROUND('Freight Calculator'!G48,6)</f>
        <v/>
      </c>
      <c r="E46">
        <f>'Import Data Entry'!B3</f>
        <v/>
      </c>
    </row>
    <row r="47">
      <c r="A47">
        <f>'Freight Calculator'!A49</f>
        <v/>
      </c>
      <c r="B47">
        <f>'Freight Calculator'!I49</f>
        <v/>
      </c>
      <c r="C47" s="18">
        <f>ROUND('Freight Calculator'!F49,4)</f>
        <v/>
      </c>
      <c r="D47" s="19">
        <f>ROUND('Freight Calculator'!G49,6)</f>
        <v/>
      </c>
      <c r="E47">
        <f>'Import Data Entry'!B3</f>
        <v/>
      </c>
    </row>
    <row r="48">
      <c r="A48">
        <f>'Freight Calculator'!A50</f>
        <v/>
      </c>
      <c r="B48">
        <f>'Freight Calculator'!I50</f>
        <v/>
      </c>
      <c r="C48" s="18">
        <f>ROUND('Freight Calculator'!F50,4)</f>
        <v/>
      </c>
      <c r="D48" s="19">
        <f>ROUND('Freight Calculator'!G50,6)</f>
        <v/>
      </c>
      <c r="E48">
        <f>'Import Data Entry'!B3</f>
        <v/>
      </c>
    </row>
    <row r="49">
      <c r="A49">
        <f>'Freight Calculator'!A51</f>
        <v/>
      </c>
      <c r="B49">
        <f>'Freight Calculator'!I51</f>
        <v/>
      </c>
      <c r="C49" s="18">
        <f>ROUND('Freight Calculator'!F51,4)</f>
        <v/>
      </c>
      <c r="D49" s="19">
        <f>ROUND('Freight Calculator'!G51,6)</f>
        <v/>
      </c>
      <c r="E49">
        <f>'Import Data Entry'!B3</f>
        <v/>
      </c>
    </row>
    <row r="50">
      <c r="A50">
        <f>'Freight Calculator'!A52</f>
        <v/>
      </c>
      <c r="B50">
        <f>'Freight Calculator'!I52</f>
        <v/>
      </c>
      <c r="C50" s="18">
        <f>ROUND('Freight Calculator'!F52,4)</f>
        <v/>
      </c>
      <c r="D50" s="19">
        <f>ROUND('Freight Calculator'!G52,6)</f>
        <v/>
      </c>
      <c r="E50">
        <f>'Import Data Entry'!B3</f>
        <v/>
      </c>
    </row>
    <row r="51">
      <c r="A51">
        <f>'Freight Calculator'!A53</f>
        <v/>
      </c>
      <c r="B51">
        <f>'Freight Calculator'!I53</f>
        <v/>
      </c>
      <c r="C51" s="18">
        <f>ROUND('Freight Calculator'!F53,4)</f>
        <v/>
      </c>
      <c r="D51" s="19">
        <f>ROUND('Freight Calculator'!G53,6)</f>
        <v/>
      </c>
      <c r="E51">
        <f>'Import Data Entry'!B3</f>
        <v/>
      </c>
    </row>
    <row r="52">
      <c r="A52">
        <f>'Freight Calculator'!A54</f>
        <v/>
      </c>
      <c r="B52">
        <f>'Freight Calculator'!I54</f>
        <v/>
      </c>
      <c r="C52" s="18">
        <f>ROUND('Freight Calculator'!F54,4)</f>
        <v/>
      </c>
      <c r="D52" s="19">
        <f>ROUND('Freight Calculator'!G54,6)</f>
        <v/>
      </c>
      <c r="E52">
        <f>'Import Data Entry'!B3</f>
        <v/>
      </c>
    </row>
  </sheetData>
  <mergeCells count="1">
    <mergeCell ref="A1:E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2026-01-06T15:36:54Z</dcterms:created>
  <dcterms:modified xsi:type="dcterms:W3CDTF">2026-01-06T15:36:54Z</dcterms:modified>
</cp:coreProperties>
</file>