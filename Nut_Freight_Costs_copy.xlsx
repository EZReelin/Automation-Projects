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Data Entry" sheetId="1" state="visible" r:id="rId1"/>
    <sheet name="Shipment Calculation" sheetId="2" state="visible" r:id="rId2"/>
    <sheet name="Historical Log" sheetId="3" state="visible" r:id="rId3"/>
    <sheet name="ERP Upload Template" sheetId="4" state="visible" r:id="rId4"/>
    <sheet name="Sheet2" sheetId="5" state="visible" r:id="rId5"/>
  </sheets>
  <definedNames>
    <definedName name="NetFreight">'Import Data Entry'!$B$13</definedName>
    <definedName name="ShipmentDate">'Import Data Entry'!$B$6</definedName>
    <definedName name="VesselName">'Import Data Entry'!$B$5</definedName>
    <definedName name="TotalSkids">'Import Data Entry'!$B$12</definedName>
    <definedName name="ShipmentWeightLBS">'Import Data Entry'!$B$11</definedName>
    <definedName name="_xlnm._FilterDatabase" localSheetId="3" hidden="1">'ERP Upload Template'!$A$2:$E$37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&quot;$&quot;#,##0.00"/>
    <numFmt numFmtId="166" formatCode="0.000"/>
    <numFmt numFmtId="167" formatCode="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0000"/>
    </font>
  </fonts>
  <fills count="6">
    <fill>
      <patternFill/>
    </fill>
    <fill>
      <patternFill patternType="gray125"/>
    </fill>
    <fill>
      <patternFill patternType="solid">
        <fgColor rgb="0090EE90"/>
        <bgColor rgb="0090EE90"/>
      </patternFill>
    </fill>
    <fill>
      <patternFill patternType="solid">
        <fgColor rgb="00FFFF00"/>
        <bgColor rgb="00FFFF00"/>
      </patternFill>
    </fill>
    <fill>
      <patternFill patternType="solid">
        <fgColor rgb="00ADD8E6"/>
        <bgColor rgb="00ADD8E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2" borderId="0" pivotButton="0" quotePrefix="0" xfId="0"/>
    <xf numFmtId="2" fontId="0" fillId="2" borderId="0" pivotButton="0" quotePrefix="0" xfId="0"/>
    <xf numFmtId="2" fontId="0" fillId="0" borderId="0" pivotButton="0" quotePrefix="0" xfId="0"/>
    <xf numFmtId="3" fontId="0" fillId="2" borderId="0" pivotButton="0" quotePrefix="0" xfId="0"/>
    <xf numFmtId="165" fontId="2" fillId="3" borderId="0" pivotButton="0" quotePrefix="0" xfId="0"/>
    <xf numFmtId="0" fontId="2" fillId="4" borderId="1" applyAlignment="1" pivotButton="0" quotePrefix="0" xfId="0">
      <alignment horizontal="center" vertical="center"/>
    </xf>
    <xf numFmtId="166" fontId="0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166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2" fontId="2" fillId="3" borderId="0" pivotButton="0" quotePrefix="0" xfId="0"/>
    <xf numFmtId="164" fontId="2" fillId="0" borderId="0" pivotButton="0" quotePrefix="0" xfId="0"/>
    <xf numFmtId="0" fontId="0" fillId="4" borderId="1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5" customWidth="1" min="3" max="3"/>
    <col width="15" customWidth="1" min="4" max="4"/>
    <col width="10" customWidth="1" min="5" max="5"/>
    <col width="25" customWidth="1" min="6" max="6"/>
  </cols>
  <sheetData>
    <row r="1">
      <c r="A1" s="1" t="inlineStr">
        <is>
          <t>DIE CO. NUT FREIGHT - IMPORT DATA ENTRY</t>
        </is>
      </c>
    </row>
    <row r="3">
      <c r="A3" s="2" t="inlineStr">
        <is>
          <t>STEP 1: Enter Customs &amp; Freight Data</t>
        </is>
      </c>
    </row>
    <row r="4">
      <c r="A4" t="inlineStr">
        <is>
          <t>Entry Number:</t>
        </is>
      </c>
      <c r="B4" s="3" t="inlineStr">
        <is>
          <t>AVZ-0154383-3</t>
        </is>
      </c>
    </row>
    <row r="5">
      <c r="A5" t="inlineStr">
        <is>
          <t>Vessel Name:</t>
        </is>
      </c>
      <c r="B5" s="3" t="inlineStr">
        <is>
          <t>EVER EAGLE 192E</t>
        </is>
      </c>
    </row>
    <row r="6">
      <c r="A6" t="inlineStr">
        <is>
          <t>Entry Date:</t>
        </is>
      </c>
      <c r="B6" s="4" t="n">
        <v>46008</v>
      </c>
    </row>
    <row r="8">
      <c r="A8" t="inlineStr">
        <is>
          <t>Total Duty (CBP Box 37):</t>
        </is>
      </c>
      <c r="B8" s="5" t="n">
        <v>10991.5</v>
      </c>
    </row>
    <row r="9">
      <c r="A9" t="inlineStr">
        <is>
          <t>Freight Invoice Total:</t>
        </is>
      </c>
      <c r="B9" s="5" t="n">
        <v>15382.36</v>
      </c>
    </row>
    <row r="10">
      <c r="A10" t="inlineStr">
        <is>
          <t>Shipment Weight (KGS):</t>
        </is>
      </c>
      <c r="B10" s="6" t="n">
        <v>7821</v>
      </c>
      <c r="C10" t="inlineStr">
        <is>
          <t>From BOL or customs doc</t>
        </is>
      </c>
    </row>
    <row r="11">
      <c r="A11" t="inlineStr">
        <is>
          <t>Shipment Weight (LBS):</t>
        </is>
      </c>
      <c r="B11" s="7">
        <f>B10*2.20462</f>
        <v/>
      </c>
      <c r="C11" t="inlineStr">
        <is>
          <t>Auto-calculated from KGS</t>
        </is>
      </c>
    </row>
    <row r="12">
      <c r="A12" t="inlineStr">
        <is>
          <t>Number of Skids:</t>
        </is>
      </c>
      <c r="B12" s="8" t="n">
        <v>13</v>
      </c>
    </row>
    <row r="13">
      <c r="A13" t="inlineStr">
        <is>
          <t>NET FREIGHT TO ALLOCATE:</t>
        </is>
      </c>
      <c r="B13" s="9">
        <f>B9-B8</f>
        <v/>
      </c>
    </row>
    <row r="15">
      <c r="A15" s="2" t="inlineStr">
        <is>
          <t>STEP 2: Paste Part Details Below</t>
        </is>
      </c>
    </row>
    <row r="17">
      <c r="A17" s="10" t="inlineStr">
        <is>
          <t>Part #</t>
        </is>
      </c>
      <c r="B17" s="10" t="inlineStr">
        <is>
          <t>Net Weight (LBS/M)</t>
        </is>
      </c>
      <c r="C17" s="10" t="inlineStr">
        <is>
          <t>QTY (M)</t>
        </is>
      </c>
      <c r="D17" s="10" t="inlineStr">
        <is>
          <t># of Skids</t>
        </is>
      </c>
      <c r="E17" s="10" t="inlineStr">
        <is>
          <t>Status</t>
        </is>
      </c>
    </row>
    <row r="18">
      <c r="A18" s="3" t="inlineStr">
        <is>
          <t>DCS-621</t>
        </is>
      </c>
      <c r="B18" s="6" t="n">
        <v>7.25</v>
      </c>
      <c r="C18" s="11" t="n">
        <v>243</v>
      </c>
      <c r="D18" s="8" t="n">
        <v>2</v>
      </c>
      <c r="E18">
        <f>IF(AND(A18&lt;&gt;"",B18&lt;&gt;"",C18&lt;&gt;"",D18&lt;&gt;""),"✓","")</f>
        <v/>
      </c>
    </row>
    <row r="19">
      <c r="A19" s="3" t="inlineStr">
        <is>
          <t>DCS-623</t>
        </is>
      </c>
      <c r="B19" s="6" t="n">
        <v>6.9</v>
      </c>
      <c r="C19" s="11" t="n">
        <v>252</v>
      </c>
      <c r="D19" s="8" t="n">
        <v>2</v>
      </c>
      <c r="E19">
        <f>IF(AND(A19&lt;&gt;"",B19&lt;&gt;"",C19&lt;&gt;"",D19&lt;&gt;""),"✓","")</f>
        <v/>
      </c>
    </row>
    <row r="20">
      <c r="A20" s="3" t="inlineStr">
        <is>
          <t>DCS-672</t>
        </is>
      </c>
      <c r="B20" s="6" t="n">
        <v>15.4</v>
      </c>
      <c r="C20" s="11" t="n">
        <v>264.6</v>
      </c>
      <c r="D20" s="8" t="n">
        <v>3</v>
      </c>
      <c r="E20">
        <f>IF(AND(A20&lt;&gt;"",B20&lt;&gt;"",C20&lt;&gt;"",D20&lt;&gt;""),"✓","")</f>
        <v/>
      </c>
    </row>
    <row r="21">
      <c r="A21" s="3" t="inlineStr">
        <is>
          <t>DCS-929</t>
        </is>
      </c>
      <c r="B21" s="6" t="n">
        <v>7.94</v>
      </c>
      <c r="C21" s="11" t="n">
        <v>1020.6</v>
      </c>
      <c r="D21" s="8" t="n">
        <v>6</v>
      </c>
      <c r="E21">
        <f>IF(AND(A21&lt;&gt;"",B21&lt;&gt;"",C21&lt;&gt;"",D21&lt;&gt;""),"✓","")</f>
        <v/>
      </c>
    </row>
    <row r="22">
      <c r="A22" s="3" t="n"/>
      <c r="B22" s="6" t="n"/>
      <c r="C22" s="11" t="n"/>
      <c r="D22" s="8" t="n"/>
      <c r="E22">
        <f>IF(AND(A22&lt;&gt;"",B22&lt;&gt;"",C22&lt;&gt;"",D22&lt;&gt;""),"✓","")</f>
        <v/>
      </c>
    </row>
    <row r="23">
      <c r="A23" s="3" t="n"/>
      <c r="B23" s="6" t="n"/>
      <c r="C23" s="11" t="n"/>
      <c r="D23" s="8" t="n"/>
      <c r="E23">
        <f>IF(AND(A23&lt;&gt;"",B23&lt;&gt;"",C23&lt;&gt;"",D23&lt;&gt;""),"✓","")</f>
        <v/>
      </c>
    </row>
    <row r="24">
      <c r="A24" s="3" t="n"/>
      <c r="B24" s="6" t="n"/>
      <c r="C24" s="11" t="n"/>
      <c r="D24" s="8" t="n"/>
      <c r="E24">
        <f>IF(AND(A24&lt;&gt;"",B24&lt;&gt;"",C24&lt;&gt;"",D24&lt;&gt;""),"✓","")</f>
        <v/>
      </c>
    </row>
    <row r="25">
      <c r="A25" s="3" t="n"/>
      <c r="B25" s="6" t="n"/>
      <c r="C25" s="11" t="n"/>
      <c r="D25" s="8" t="n"/>
      <c r="E25">
        <f>IF(AND(A25&lt;&gt;"",B25&lt;&gt;"",C25&lt;&gt;"",D25&lt;&gt;""),"✓","")</f>
        <v/>
      </c>
    </row>
    <row r="26">
      <c r="A26" s="3" t="n"/>
      <c r="B26" s="6" t="n"/>
      <c r="C26" s="11" t="n"/>
      <c r="D26" s="8" t="n"/>
      <c r="E26">
        <f>IF(AND(A26&lt;&gt;"",B26&lt;&gt;"",C26&lt;&gt;"",D26&lt;&gt;""),"✓","")</f>
        <v/>
      </c>
    </row>
    <row r="27">
      <c r="A27" s="3" t="n"/>
      <c r="B27" s="6" t="n"/>
      <c r="C27" s="11" t="n"/>
      <c r="D27" s="8" t="n"/>
      <c r="E27">
        <f>IF(AND(A27&lt;&gt;"",B27&lt;&gt;"",C27&lt;&gt;"",D27&lt;&gt;""),"✓","")</f>
        <v/>
      </c>
    </row>
    <row r="28">
      <c r="A28" s="3" t="n"/>
      <c r="B28" s="6" t="n"/>
      <c r="C28" s="11" t="n"/>
      <c r="D28" s="8" t="n"/>
      <c r="E28">
        <f>IF(AND(A28&lt;&gt;"",B28&lt;&gt;"",C28&lt;&gt;"",D28&lt;&gt;""),"✓","")</f>
        <v/>
      </c>
    </row>
    <row r="29">
      <c r="A29" s="3" t="n"/>
      <c r="B29" s="6" t="n"/>
      <c r="C29" s="11" t="n"/>
      <c r="D29" s="8" t="n"/>
      <c r="E29">
        <f>IF(AND(A29&lt;&gt;"",B29&lt;&gt;"",C29&lt;&gt;"",D29&lt;&gt;""),"✓","")</f>
        <v/>
      </c>
    </row>
    <row r="30">
      <c r="A30" s="3" t="n"/>
      <c r="B30" s="6" t="n"/>
      <c r="C30" s="11" t="n"/>
      <c r="D30" s="8" t="n"/>
      <c r="E30">
        <f>IF(AND(A30&lt;&gt;"",B30&lt;&gt;"",C30&lt;&gt;"",D30&lt;&gt;""),"✓","")</f>
        <v/>
      </c>
    </row>
    <row r="31">
      <c r="A31" s="3" t="n"/>
      <c r="B31" s="6" t="n"/>
      <c r="C31" s="11" t="n"/>
      <c r="D31" s="8" t="n"/>
      <c r="E31">
        <f>IF(AND(A31&lt;&gt;"",B31&lt;&gt;"",C31&lt;&gt;"",D31&lt;&gt;""),"✓","")</f>
        <v/>
      </c>
    </row>
    <row r="32">
      <c r="A32" s="3" t="n"/>
      <c r="B32" s="6" t="n"/>
      <c r="C32" s="11" t="n"/>
      <c r="D32" s="8" t="n"/>
      <c r="E32">
        <f>IF(AND(A32&lt;&gt;"",B32&lt;&gt;"",C32&lt;&gt;"",D32&lt;&gt;""),"✓","")</f>
        <v/>
      </c>
    </row>
    <row r="33">
      <c r="A33" s="3" t="n"/>
      <c r="B33" s="6" t="n"/>
      <c r="C33" s="11" t="n"/>
      <c r="D33" s="8" t="n"/>
      <c r="E33">
        <f>IF(AND(A33&lt;&gt;"",B33&lt;&gt;"",C33&lt;&gt;"",D33&lt;&gt;""),"✓","")</f>
        <v/>
      </c>
    </row>
    <row r="34">
      <c r="A34" s="3" t="n"/>
      <c r="B34" s="6" t="n"/>
      <c r="C34" s="11" t="n"/>
      <c r="D34" s="8" t="n"/>
      <c r="E34">
        <f>IF(AND(A34&lt;&gt;"",B34&lt;&gt;"",C34&lt;&gt;"",D34&lt;&gt;""),"✓","")</f>
        <v/>
      </c>
    </row>
    <row r="35">
      <c r="A35" s="3" t="n"/>
      <c r="B35" s="6" t="n"/>
      <c r="C35" s="11" t="n"/>
      <c r="D35" s="8" t="n"/>
      <c r="E35">
        <f>IF(AND(A35&lt;&gt;"",B35&lt;&gt;"",C35&lt;&gt;"",D35&lt;&gt;""),"✓","")</f>
        <v/>
      </c>
    </row>
    <row r="36">
      <c r="A36" s="3" t="n"/>
      <c r="B36" s="6" t="n"/>
      <c r="C36" s="11" t="n"/>
      <c r="D36" s="8" t="n"/>
      <c r="E36">
        <f>IF(AND(A36&lt;&gt;"",B36&lt;&gt;"",C36&lt;&gt;"",D36&lt;&gt;""),"✓","")</f>
        <v/>
      </c>
    </row>
    <row r="37">
      <c r="A37" s="3" t="n"/>
      <c r="B37" s="6" t="n"/>
      <c r="C37" s="11" t="n"/>
      <c r="D37" s="8" t="n"/>
      <c r="E37">
        <f>IF(AND(A37&lt;&gt;"",B37&lt;&gt;"",C37&lt;&gt;"",D37&lt;&gt;""),"✓","")</f>
        <v/>
      </c>
    </row>
    <row r="38">
      <c r="A38" s="3" t="n"/>
      <c r="B38" s="6" t="n"/>
      <c r="C38" s="11" t="n"/>
      <c r="D38" s="8" t="n"/>
      <c r="E38">
        <f>IF(AND(A38&lt;&gt;"",B38&lt;&gt;"",C38&lt;&gt;"",D38&lt;&gt;""),"✓","")</f>
        <v/>
      </c>
    </row>
    <row r="39">
      <c r="A39" s="3" t="n"/>
      <c r="B39" s="6" t="n"/>
      <c r="C39" s="11" t="n"/>
      <c r="D39" s="8" t="n"/>
      <c r="E39">
        <f>IF(AND(A39&lt;&gt;"",B39&lt;&gt;"",C39&lt;&gt;"",D39&lt;&gt;""),"✓","")</f>
        <v/>
      </c>
    </row>
    <row r="40">
      <c r="A40" s="3" t="n"/>
      <c r="B40" s="6" t="n"/>
      <c r="C40" s="11" t="n"/>
      <c r="D40" s="8" t="n"/>
      <c r="E40">
        <f>IF(AND(A40&lt;&gt;"",B40&lt;&gt;"",C40&lt;&gt;"",D40&lt;&gt;""),"✓","")</f>
        <v/>
      </c>
    </row>
    <row r="41">
      <c r="A41" s="3" t="n"/>
      <c r="B41" s="6" t="n"/>
      <c r="C41" s="11" t="n"/>
      <c r="D41" s="8" t="n"/>
      <c r="E41">
        <f>IF(AND(A41&lt;&gt;"",B41&lt;&gt;"",C41&lt;&gt;"",D41&lt;&gt;""),"✓","")</f>
        <v/>
      </c>
    </row>
    <row r="42">
      <c r="A42" s="3" t="n"/>
      <c r="B42" s="6" t="n"/>
      <c r="C42" s="11" t="n"/>
      <c r="D42" s="8" t="n"/>
      <c r="E42">
        <f>IF(AND(A42&lt;&gt;"",B42&lt;&gt;"",C42&lt;&gt;"",D42&lt;&gt;""),"✓","")</f>
        <v/>
      </c>
    </row>
    <row r="43">
      <c r="A43" s="3" t="n"/>
      <c r="B43" s="6" t="n"/>
      <c r="C43" s="11" t="n"/>
      <c r="D43" s="8" t="n"/>
      <c r="E43">
        <f>IF(AND(A43&lt;&gt;"",B43&lt;&gt;"",C43&lt;&gt;"",D43&lt;&gt;""),"✓","")</f>
        <v/>
      </c>
    </row>
    <row r="44">
      <c r="A44" s="3" t="n"/>
      <c r="B44" s="6" t="n"/>
      <c r="C44" s="11" t="n"/>
      <c r="D44" s="8" t="n"/>
      <c r="E44">
        <f>IF(AND(A44&lt;&gt;"",B44&lt;&gt;"",C44&lt;&gt;"",D44&lt;&gt;""),"✓","")</f>
        <v/>
      </c>
    </row>
    <row r="45">
      <c r="A45" s="3" t="n"/>
      <c r="B45" s="6" t="n"/>
      <c r="C45" s="11" t="n"/>
      <c r="D45" s="8" t="n"/>
      <c r="E45">
        <f>IF(AND(A45&lt;&gt;"",B45&lt;&gt;"",C45&lt;&gt;"",D45&lt;&gt;""),"✓","")</f>
        <v/>
      </c>
    </row>
    <row r="46">
      <c r="A46" s="3" t="n"/>
      <c r="B46" s="6" t="n"/>
      <c r="C46" s="11" t="n"/>
      <c r="D46" s="8" t="n"/>
      <c r="E46">
        <f>IF(AND(A46&lt;&gt;"",B46&lt;&gt;"",C46&lt;&gt;"",D46&lt;&gt;""),"✓","")</f>
        <v/>
      </c>
    </row>
    <row r="47">
      <c r="A47" s="3" t="n"/>
      <c r="B47" s="6" t="n"/>
      <c r="C47" s="11" t="n"/>
      <c r="D47" s="8" t="n"/>
      <c r="E47">
        <f>IF(AND(A47&lt;&gt;"",B47&lt;&gt;"",C47&lt;&gt;"",D47&lt;&gt;""),"✓","")</f>
        <v/>
      </c>
    </row>
    <row r="48">
      <c r="A48" s="3" t="n"/>
      <c r="B48" s="6" t="n"/>
      <c r="C48" s="11" t="n"/>
      <c r="D48" s="8" t="n"/>
      <c r="E48">
        <f>IF(AND(A48&lt;&gt;"",B48&lt;&gt;"",C48&lt;&gt;"",D48&lt;&gt;""),"✓","")</f>
        <v/>
      </c>
    </row>
    <row r="49">
      <c r="A49" s="3" t="n"/>
      <c r="B49" s="6" t="n"/>
      <c r="C49" s="11" t="n"/>
      <c r="D49" s="8" t="n"/>
      <c r="E49">
        <f>IF(AND(A49&lt;&gt;"",B49&lt;&gt;"",C49&lt;&gt;"",D49&lt;&gt;""),"✓","")</f>
        <v/>
      </c>
    </row>
    <row r="50">
      <c r="A50" s="3" t="n"/>
      <c r="B50" s="6" t="n"/>
      <c r="C50" s="11" t="n"/>
      <c r="D50" s="8" t="n"/>
      <c r="E50">
        <f>IF(AND(A50&lt;&gt;"",B50&lt;&gt;"",C50&lt;&gt;"",D50&lt;&gt;""),"✓","")</f>
        <v/>
      </c>
    </row>
    <row r="51">
      <c r="A51" s="3" t="n"/>
      <c r="B51" s="6" t="n"/>
      <c r="C51" s="11" t="n"/>
      <c r="D51" s="8" t="n"/>
      <c r="E51">
        <f>IF(AND(A51&lt;&gt;"",B51&lt;&gt;"",C51&lt;&gt;"",D51&lt;&gt;""),"✓","")</f>
        <v/>
      </c>
    </row>
    <row r="53">
      <c r="A53" s="2" t="inlineStr">
        <is>
          <t>Ready to Calculate:</t>
        </is>
      </c>
      <c r="B53" s="2">
        <f>IF(COUNTIF(E18:E51,"✓")&gt;0,"YES - Go to Shipment Calculation tab","NO - Complete part details")</f>
        <v/>
      </c>
    </row>
    <row r="55">
      <c r="A55" s="12" t="inlineStr">
        <is>
          <t>NEW PROCESS:
1. Enter customs entry number, vessel, date
2. Enter total duty from CBP Box 37
3. Enter freight invoice total (ALL charges)
4. Enter shipment weight (KGS) - LBS auto-calculates
5. Enter skid count
6. Paste or type part details (Part #, Net Weight in LBS/M, QTY, Skids)
7. Go to Shipment Calculation tab - review auto-calculated costs
8. Go to ERP Upload tab - copy table and paste into ERP system
9. Record in Historical Log for future reference</t>
        </is>
      </c>
    </row>
    <row r="56"/>
    <row r="57"/>
    <row r="58"/>
    <row r="59"/>
    <row r="60"/>
    <row r="61"/>
    <row r="62"/>
    <row r="63"/>
  </sheetData>
  <mergeCells count="2">
    <mergeCell ref="A55:F63"/>
    <mergeCell ref="A1:F1"/>
  </mergeCells>
  <conditionalFormatting sqref="E18:E51">
    <cfRule type="cellIs" priority="1" operator="equal" dxfId="0">
      <formula>"✓"</formula>
    </cfRule>
  </conditionalFormatting>
  <conditionalFormatting sqref="B53">
    <cfRule type="cellIs" priority="2" operator="containsText" dxfId="0">
      <formula>"YES"</formula>
    </cfRule>
    <cfRule type="cellIs" priority="3" operator="containsText" dxfId="1">
      <formula>"NO"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</cols>
  <sheetData>
    <row r="1">
      <c r="A1" s="13" t="inlineStr">
        <is>
          <t>AUTO-POPULATED FROM IMPORT DATA ENTRY - DO NOT EDIT</t>
        </is>
      </c>
    </row>
    <row r="3">
      <c r="A3" s="10" t="inlineStr">
        <is>
          <t>Part #</t>
        </is>
      </c>
      <c r="B3" s="10" t="inlineStr">
        <is>
          <t>Net Weight(LBS/M)</t>
        </is>
      </c>
      <c r="C3" s="10" t="inlineStr">
        <is>
          <t>QTY(M)</t>
        </is>
      </c>
      <c r="D3" s="10" t="inlineStr">
        <is>
          <t>Total Weight(LBS)</t>
        </is>
      </c>
      <c r="E3" s="10" t="inlineStr">
        <is>
          <t># of Skids</t>
        </is>
      </c>
      <c r="F3" s="10" t="inlineStr">
        <is>
          <t>Weight %</t>
        </is>
      </c>
      <c r="G3" s="10" t="inlineStr">
        <is>
          <t>Cost Allocated</t>
        </is>
      </c>
      <c r="H3" s="10" t="inlineStr">
        <is>
          <t>Cost/LBS</t>
        </is>
      </c>
      <c r="I3" s="10" t="inlineStr">
        <is>
          <t>Cost/M</t>
        </is>
      </c>
    </row>
    <row r="4"/>
    <row r="5">
      <c r="A5">
        <f>IFERROR(INDEX('Import Data Entry'!$A$18:$A$51,1),"")</f>
        <v/>
      </c>
      <c r="B5" s="7">
        <f>IFERROR(INDEX('Import Data Entry'!$B$18:$B$51,1),"")</f>
        <v/>
      </c>
      <c r="C5" s="14">
        <f>IFERROR(INDEX('Import Data Entry'!$C$18:$C$51,1),"")</f>
        <v/>
      </c>
      <c r="D5" s="7">
        <f>IF(B5="","",B5*C5)</f>
        <v/>
      </c>
      <c r="E5" s="15">
        <f>IFERROR(INDEX('Import Data Entry'!$D$18:$D$51,1),"")</f>
        <v/>
      </c>
      <c r="F5" s="16">
        <f>IF(D5="","",D5/$D$41)</f>
        <v/>
      </c>
      <c r="G5" s="17">
        <f>IF(F5="","",F5*$B$44)</f>
        <v/>
      </c>
      <c r="H5" s="17">
        <f>IF(D5="","",G5/D5)</f>
        <v/>
      </c>
      <c r="I5" s="17">
        <f>IF(C5="","",G5/C5)</f>
        <v/>
      </c>
    </row>
    <row r="6">
      <c r="A6">
        <f>IFERROR(INDEX('Import Data Entry'!$A$18:$A$51,2),"")</f>
        <v/>
      </c>
      <c r="B6" s="7">
        <f>IFERROR(INDEX('Import Data Entry'!$B$18:$B$51,2),"")</f>
        <v/>
      </c>
      <c r="C6" s="14">
        <f>IFERROR(INDEX('Import Data Entry'!$C$18:$C$51,2),"")</f>
        <v/>
      </c>
      <c r="D6" s="7">
        <f>IF(B6="","",B6*C6)</f>
        <v/>
      </c>
      <c r="E6" s="15">
        <f>IFERROR(INDEX('Import Data Entry'!$D$18:$D$51,2),"")</f>
        <v/>
      </c>
      <c r="F6" s="16">
        <f>IF(D6="","",D6/$D$41)</f>
        <v/>
      </c>
      <c r="G6" s="17">
        <f>IF(F6="","",F6*$B$44)</f>
        <v/>
      </c>
      <c r="H6" s="17">
        <f>IF(D6="","",G6/D6)</f>
        <v/>
      </c>
      <c r="I6" s="17">
        <f>IF(C6="","",G6/C6)</f>
        <v/>
      </c>
    </row>
    <row r="7">
      <c r="A7">
        <f>IFERROR(INDEX('Import Data Entry'!$A$18:$A$51,3),"")</f>
        <v/>
      </c>
      <c r="B7" s="7">
        <f>IFERROR(INDEX('Import Data Entry'!$B$18:$B$51,3),"")</f>
        <v/>
      </c>
      <c r="C7" s="14">
        <f>IFERROR(INDEX('Import Data Entry'!$C$18:$C$51,3),"")</f>
        <v/>
      </c>
      <c r="D7" s="7">
        <f>IF(B7="","",B7*C7)</f>
        <v/>
      </c>
      <c r="E7" s="15">
        <f>IFERROR(INDEX('Import Data Entry'!$D$18:$D$51,3),"")</f>
        <v/>
      </c>
      <c r="F7" s="16">
        <f>IF(D7="","",D7/$D$41)</f>
        <v/>
      </c>
      <c r="G7" s="17">
        <f>IF(F7="","",F7*$B$44)</f>
        <v/>
      </c>
      <c r="H7" s="17">
        <f>IF(D7="","",G7/D7)</f>
        <v/>
      </c>
      <c r="I7" s="17">
        <f>IF(C7="","",G7/C7)</f>
        <v/>
      </c>
    </row>
    <row r="8">
      <c r="A8">
        <f>IFERROR(INDEX('Import Data Entry'!$A$18:$A$51,4),"")</f>
        <v/>
      </c>
      <c r="B8" s="7">
        <f>IFERROR(INDEX('Import Data Entry'!$B$18:$B$51,4),"")</f>
        <v/>
      </c>
      <c r="C8" s="14">
        <f>IFERROR(INDEX('Import Data Entry'!$C$18:$C$51,4),"")</f>
        <v/>
      </c>
      <c r="D8" s="7">
        <f>IF(B8="","",B8*C8)</f>
        <v/>
      </c>
      <c r="E8" s="15">
        <f>IFERROR(INDEX('Import Data Entry'!$D$18:$D$51,4),"")</f>
        <v/>
      </c>
      <c r="F8" s="16">
        <f>IF(D8="","",D8/$D$41)</f>
        <v/>
      </c>
      <c r="G8" s="17">
        <f>IF(F8="","",F8*$B$44)</f>
        <v/>
      </c>
      <c r="H8" s="17">
        <f>IF(D8="","",G8/D8)</f>
        <v/>
      </c>
      <c r="I8" s="17">
        <f>IF(C8="","",G8/C8)</f>
        <v/>
      </c>
    </row>
    <row r="9">
      <c r="A9">
        <f>IFERROR(INDEX('Import Data Entry'!$A$18:$A$51,5),"")</f>
        <v/>
      </c>
      <c r="B9" s="7">
        <f>IFERROR(INDEX('Import Data Entry'!$B$18:$B$51,5),"")</f>
        <v/>
      </c>
      <c r="C9" s="14">
        <f>IFERROR(INDEX('Import Data Entry'!$C$18:$C$51,5),"")</f>
        <v/>
      </c>
      <c r="D9" s="7">
        <f>IF(B9="","",B9*C9)</f>
        <v/>
      </c>
      <c r="E9" s="15">
        <f>IFERROR(INDEX('Import Data Entry'!$D$18:$D$51,5),"")</f>
        <v/>
      </c>
      <c r="F9" s="16">
        <f>IF(D9="","",D9/$D$41)</f>
        <v/>
      </c>
      <c r="G9" s="17">
        <f>IF(F9="","",F9*$B$44)</f>
        <v/>
      </c>
      <c r="H9" s="17">
        <f>IF(D9="","",G9/D9)</f>
        <v/>
      </c>
      <c r="I9" s="17">
        <f>IF(C9="","",G9/C9)</f>
        <v/>
      </c>
    </row>
    <row r="10">
      <c r="A10">
        <f>IFERROR(INDEX('Import Data Entry'!$A$18:$A$51,6),"")</f>
        <v/>
      </c>
      <c r="B10" s="7">
        <f>IFERROR(INDEX('Import Data Entry'!$B$18:$B$51,6),"")</f>
        <v/>
      </c>
      <c r="C10" s="14">
        <f>IFERROR(INDEX('Import Data Entry'!$C$18:$C$51,6),"")</f>
        <v/>
      </c>
      <c r="D10" s="7">
        <f>IF(B10="","",B10*C10)</f>
        <v/>
      </c>
      <c r="E10" s="15">
        <f>IFERROR(INDEX('Import Data Entry'!$D$18:$D$51,6),"")</f>
        <v/>
      </c>
      <c r="F10" s="16">
        <f>IF(D10="","",D10/$D$41)</f>
        <v/>
      </c>
      <c r="G10" s="17">
        <f>IF(F10="","",F10*$B$44)</f>
        <v/>
      </c>
      <c r="H10" s="17">
        <f>IF(D10="","",G10/D10)</f>
        <v/>
      </c>
      <c r="I10" s="17">
        <f>IF(C10="","",G10/C10)</f>
        <v/>
      </c>
    </row>
    <row r="11">
      <c r="A11">
        <f>IFERROR(INDEX('Import Data Entry'!$A$18:$A$51,7),"")</f>
        <v/>
      </c>
      <c r="B11" s="7">
        <f>IFERROR(INDEX('Import Data Entry'!$B$18:$B$51,7),"")</f>
        <v/>
      </c>
      <c r="C11" s="14">
        <f>IFERROR(INDEX('Import Data Entry'!$C$18:$C$51,7),"")</f>
        <v/>
      </c>
      <c r="D11" s="7">
        <f>IF(B11="","",B11*C11)</f>
        <v/>
      </c>
      <c r="E11" s="15">
        <f>IFERROR(INDEX('Import Data Entry'!$D$18:$D$51,7),"")</f>
        <v/>
      </c>
      <c r="F11" s="16">
        <f>IF(D11="","",D11/$D$41)</f>
        <v/>
      </c>
      <c r="G11" s="17">
        <f>IF(F11="","",F11*$B$44)</f>
        <v/>
      </c>
      <c r="H11" s="17">
        <f>IF(D11="","",G11/D11)</f>
        <v/>
      </c>
      <c r="I11" s="17">
        <f>IF(C11="","",G11/C11)</f>
        <v/>
      </c>
    </row>
    <row r="12">
      <c r="A12">
        <f>IFERROR(INDEX('Import Data Entry'!$A$18:$A$51,8),"")</f>
        <v/>
      </c>
      <c r="B12" s="7">
        <f>IFERROR(INDEX('Import Data Entry'!$B$18:$B$51,8),"")</f>
        <v/>
      </c>
      <c r="C12" s="14">
        <f>IFERROR(INDEX('Import Data Entry'!$C$18:$C$51,8),"")</f>
        <v/>
      </c>
      <c r="D12" s="7">
        <f>IF(B12="","",B12*C12)</f>
        <v/>
      </c>
      <c r="E12" s="15">
        <f>IFERROR(INDEX('Import Data Entry'!$D$18:$D$51,8),"")</f>
        <v/>
      </c>
      <c r="F12" s="16">
        <f>IF(D12="","",D12/$D$41)</f>
        <v/>
      </c>
      <c r="G12" s="17">
        <f>IF(F12="","",F12*$B$44)</f>
        <v/>
      </c>
      <c r="H12" s="17">
        <f>IF(D12="","",G12/D12)</f>
        <v/>
      </c>
      <c r="I12" s="17">
        <f>IF(C12="","",G12/C12)</f>
        <v/>
      </c>
    </row>
    <row r="13">
      <c r="A13">
        <f>IFERROR(INDEX('Import Data Entry'!$A$18:$A$51,9),"")</f>
        <v/>
      </c>
      <c r="B13" s="7">
        <f>IFERROR(INDEX('Import Data Entry'!$B$18:$B$51,9),"")</f>
        <v/>
      </c>
      <c r="C13" s="14">
        <f>IFERROR(INDEX('Import Data Entry'!$C$18:$C$51,9),"")</f>
        <v/>
      </c>
      <c r="D13" s="7">
        <f>IF(B13="","",B13*C13)</f>
        <v/>
      </c>
      <c r="E13" s="15">
        <f>IFERROR(INDEX('Import Data Entry'!$D$18:$D$51,9),"")</f>
        <v/>
      </c>
      <c r="F13" s="16">
        <f>IF(D13="","",D13/$D$41)</f>
        <v/>
      </c>
      <c r="G13" s="17">
        <f>IF(F13="","",F13*$B$44)</f>
        <v/>
      </c>
      <c r="H13" s="17">
        <f>IF(D13="","",G13/D13)</f>
        <v/>
      </c>
      <c r="I13" s="17">
        <f>IF(C13="","",G13/C13)</f>
        <v/>
      </c>
    </row>
    <row r="14">
      <c r="A14">
        <f>IFERROR(INDEX('Import Data Entry'!$A$18:$A$51,10),"")</f>
        <v/>
      </c>
      <c r="B14" s="7">
        <f>IFERROR(INDEX('Import Data Entry'!$B$18:$B$51,10),"")</f>
        <v/>
      </c>
      <c r="C14" s="14">
        <f>IFERROR(INDEX('Import Data Entry'!$C$18:$C$51,10),"")</f>
        <v/>
      </c>
      <c r="D14" s="7">
        <f>IF(B14="","",B14*C14)</f>
        <v/>
      </c>
      <c r="E14" s="15">
        <f>IFERROR(INDEX('Import Data Entry'!$D$18:$D$51,10),"")</f>
        <v/>
      </c>
      <c r="F14" s="16">
        <f>IF(D14="","",D14/$D$41)</f>
        <v/>
      </c>
      <c r="G14" s="17">
        <f>IF(F14="","",F14*$B$44)</f>
        <v/>
      </c>
      <c r="H14" s="17">
        <f>IF(D14="","",G14/D14)</f>
        <v/>
      </c>
      <c r="I14" s="17">
        <f>IF(C14="","",G14/C14)</f>
        <v/>
      </c>
    </row>
    <row r="15">
      <c r="A15">
        <f>IFERROR(INDEX('Import Data Entry'!$A$18:$A$51,11),"")</f>
        <v/>
      </c>
      <c r="B15" s="7">
        <f>IFERROR(INDEX('Import Data Entry'!$B$18:$B$51,11),"")</f>
        <v/>
      </c>
      <c r="C15" s="14">
        <f>IFERROR(INDEX('Import Data Entry'!$C$18:$C$51,11),"")</f>
        <v/>
      </c>
      <c r="D15" s="7">
        <f>IF(B15="","",B15*C15)</f>
        <v/>
      </c>
      <c r="E15" s="15">
        <f>IFERROR(INDEX('Import Data Entry'!$D$18:$D$51,11),"")</f>
        <v/>
      </c>
      <c r="F15" s="16">
        <f>IF(D15="","",D15/$D$41)</f>
        <v/>
      </c>
      <c r="G15" s="17">
        <f>IF(F15="","",F15*$B$44)</f>
        <v/>
      </c>
      <c r="H15" s="17">
        <f>IF(D15="","",G15/D15)</f>
        <v/>
      </c>
      <c r="I15" s="17">
        <f>IF(C15="","",G15/C15)</f>
        <v/>
      </c>
    </row>
    <row r="16">
      <c r="A16">
        <f>IFERROR(INDEX('Import Data Entry'!$A$18:$A$51,12),"")</f>
        <v/>
      </c>
      <c r="B16" s="7">
        <f>IFERROR(INDEX('Import Data Entry'!$B$18:$B$51,12),"")</f>
        <v/>
      </c>
      <c r="C16" s="14">
        <f>IFERROR(INDEX('Import Data Entry'!$C$18:$C$51,12),"")</f>
        <v/>
      </c>
      <c r="D16" s="7">
        <f>IF(B16="","",B16*C16)</f>
        <v/>
      </c>
      <c r="E16" s="15">
        <f>IFERROR(INDEX('Import Data Entry'!$D$18:$D$51,12),"")</f>
        <v/>
      </c>
      <c r="F16" s="16">
        <f>IF(D16="","",D16/$D$41)</f>
        <v/>
      </c>
      <c r="G16" s="17">
        <f>IF(F16="","",F16*$B$44)</f>
        <v/>
      </c>
      <c r="H16" s="17">
        <f>IF(D16="","",G16/D16)</f>
        <v/>
      </c>
      <c r="I16" s="17">
        <f>IF(C16="","",G16/C16)</f>
        <v/>
      </c>
    </row>
    <row r="17">
      <c r="A17">
        <f>IFERROR(INDEX('Import Data Entry'!$A$18:$A$51,13),"")</f>
        <v/>
      </c>
      <c r="B17" s="7">
        <f>IFERROR(INDEX('Import Data Entry'!$B$18:$B$51,13),"")</f>
        <v/>
      </c>
      <c r="C17" s="14">
        <f>IFERROR(INDEX('Import Data Entry'!$C$18:$C$51,13),"")</f>
        <v/>
      </c>
      <c r="D17" s="7">
        <f>IF(B17="","",B17*C17)</f>
        <v/>
      </c>
      <c r="E17" s="15">
        <f>IFERROR(INDEX('Import Data Entry'!$D$18:$D$51,13),"")</f>
        <v/>
      </c>
      <c r="F17" s="16">
        <f>IF(D17="","",D17/$D$41)</f>
        <v/>
      </c>
      <c r="G17" s="17">
        <f>IF(F17="","",F17*$B$44)</f>
        <v/>
      </c>
      <c r="H17" s="17">
        <f>IF(D17="","",G17/D17)</f>
        <v/>
      </c>
      <c r="I17" s="17">
        <f>IF(C17="","",G17/C17)</f>
        <v/>
      </c>
    </row>
    <row r="18">
      <c r="A18">
        <f>IFERROR(INDEX('Import Data Entry'!$A$18:$A$51,14),"")</f>
        <v/>
      </c>
      <c r="B18" s="7">
        <f>IFERROR(INDEX('Import Data Entry'!$B$18:$B$51,14),"")</f>
        <v/>
      </c>
      <c r="C18" s="14">
        <f>IFERROR(INDEX('Import Data Entry'!$C$18:$C$51,14),"")</f>
        <v/>
      </c>
      <c r="D18" s="7">
        <f>IF(B18="","",B18*C18)</f>
        <v/>
      </c>
      <c r="E18" s="15">
        <f>IFERROR(INDEX('Import Data Entry'!$D$18:$D$51,14),"")</f>
        <v/>
      </c>
      <c r="F18" s="16">
        <f>IF(D18="","",D18/$D$41)</f>
        <v/>
      </c>
      <c r="G18" s="17">
        <f>IF(F18="","",F18*$B$44)</f>
        <v/>
      </c>
      <c r="H18" s="17">
        <f>IF(D18="","",G18/D18)</f>
        <v/>
      </c>
      <c r="I18" s="17">
        <f>IF(C18="","",G18/C18)</f>
        <v/>
      </c>
    </row>
    <row r="19">
      <c r="A19">
        <f>IFERROR(INDEX('Import Data Entry'!$A$18:$A$51,15),"")</f>
        <v/>
      </c>
      <c r="B19" s="7">
        <f>IFERROR(INDEX('Import Data Entry'!$B$18:$B$51,15),"")</f>
        <v/>
      </c>
      <c r="C19" s="14">
        <f>IFERROR(INDEX('Import Data Entry'!$C$18:$C$51,15),"")</f>
        <v/>
      </c>
      <c r="D19" s="7">
        <f>IF(B19="","",B19*C19)</f>
        <v/>
      </c>
      <c r="E19" s="15">
        <f>IFERROR(INDEX('Import Data Entry'!$D$18:$D$51,15),"")</f>
        <v/>
      </c>
      <c r="F19" s="16">
        <f>IF(D19="","",D19/$D$41)</f>
        <v/>
      </c>
      <c r="G19" s="17">
        <f>IF(F19="","",F19*$B$44)</f>
        <v/>
      </c>
      <c r="H19" s="17">
        <f>IF(D19="","",G19/D19)</f>
        <v/>
      </c>
      <c r="I19" s="17">
        <f>IF(C19="","",G19/C19)</f>
        <v/>
      </c>
    </row>
    <row r="20">
      <c r="A20">
        <f>IFERROR(INDEX('Import Data Entry'!$A$18:$A$51,16),"")</f>
        <v/>
      </c>
      <c r="B20" s="7">
        <f>IFERROR(INDEX('Import Data Entry'!$B$18:$B$51,16),"")</f>
        <v/>
      </c>
      <c r="C20" s="14">
        <f>IFERROR(INDEX('Import Data Entry'!$C$18:$C$51,16),"")</f>
        <v/>
      </c>
      <c r="D20" s="7">
        <f>IF(B20="","",B20*C20)</f>
        <v/>
      </c>
      <c r="E20" s="15">
        <f>IFERROR(INDEX('Import Data Entry'!$D$18:$D$51,16),"")</f>
        <v/>
      </c>
      <c r="F20" s="16">
        <f>IF(D20="","",D20/$D$41)</f>
        <v/>
      </c>
      <c r="G20" s="17">
        <f>IF(F20="","",F20*$B$44)</f>
        <v/>
      </c>
      <c r="H20" s="17">
        <f>IF(D20="","",G20/D20)</f>
        <v/>
      </c>
      <c r="I20" s="17">
        <f>IF(C20="","",G20/C20)</f>
        <v/>
      </c>
    </row>
    <row r="21">
      <c r="A21">
        <f>IFERROR(INDEX('Import Data Entry'!$A$18:$A$51,17),"")</f>
        <v/>
      </c>
      <c r="B21" s="7">
        <f>IFERROR(INDEX('Import Data Entry'!$B$18:$B$51,17),"")</f>
        <v/>
      </c>
      <c r="C21" s="14">
        <f>IFERROR(INDEX('Import Data Entry'!$C$18:$C$51,17),"")</f>
        <v/>
      </c>
      <c r="D21" s="7">
        <f>IF(B21="","",B21*C21)</f>
        <v/>
      </c>
      <c r="E21" s="15">
        <f>IFERROR(INDEX('Import Data Entry'!$D$18:$D$51,17),"")</f>
        <v/>
      </c>
      <c r="F21" s="16">
        <f>IF(D21="","",D21/$D$41)</f>
        <v/>
      </c>
      <c r="G21" s="17">
        <f>IF(F21="","",F21*$B$44)</f>
        <v/>
      </c>
      <c r="H21" s="17">
        <f>IF(D21="","",G21/D21)</f>
        <v/>
      </c>
      <c r="I21" s="17">
        <f>IF(C21="","",G21/C21)</f>
        <v/>
      </c>
    </row>
    <row r="22">
      <c r="A22">
        <f>IFERROR(INDEX('Import Data Entry'!$A$18:$A$51,18),"")</f>
        <v/>
      </c>
      <c r="B22" s="7">
        <f>IFERROR(INDEX('Import Data Entry'!$B$18:$B$51,18),"")</f>
        <v/>
      </c>
      <c r="C22" s="14">
        <f>IFERROR(INDEX('Import Data Entry'!$C$18:$C$51,18),"")</f>
        <v/>
      </c>
      <c r="D22" s="7">
        <f>IF(B22="","",B22*C22)</f>
        <v/>
      </c>
      <c r="E22" s="15">
        <f>IFERROR(INDEX('Import Data Entry'!$D$18:$D$51,18),"")</f>
        <v/>
      </c>
      <c r="F22" s="16">
        <f>IF(D22="","",D22/$D$41)</f>
        <v/>
      </c>
      <c r="G22" s="17">
        <f>IF(F22="","",F22*$B$44)</f>
        <v/>
      </c>
      <c r="H22" s="17">
        <f>IF(D22="","",G22/D22)</f>
        <v/>
      </c>
      <c r="I22" s="17">
        <f>IF(C22="","",G22/C22)</f>
        <v/>
      </c>
    </row>
    <row r="23">
      <c r="A23">
        <f>IFERROR(INDEX('Import Data Entry'!$A$18:$A$51,19),"")</f>
        <v/>
      </c>
      <c r="B23" s="7">
        <f>IFERROR(INDEX('Import Data Entry'!$B$18:$B$51,19),"")</f>
        <v/>
      </c>
      <c r="C23" s="14">
        <f>IFERROR(INDEX('Import Data Entry'!$C$18:$C$51,19),"")</f>
        <v/>
      </c>
      <c r="D23" s="7">
        <f>IF(B23="","",B23*C23)</f>
        <v/>
      </c>
      <c r="E23" s="15">
        <f>IFERROR(INDEX('Import Data Entry'!$D$18:$D$51,19),"")</f>
        <v/>
      </c>
      <c r="F23" s="16">
        <f>IF(D23="","",D23/$D$41)</f>
        <v/>
      </c>
      <c r="G23" s="17">
        <f>IF(F23="","",F23*$B$44)</f>
        <v/>
      </c>
      <c r="H23" s="17">
        <f>IF(D23="","",G23/D23)</f>
        <v/>
      </c>
      <c r="I23" s="17">
        <f>IF(C23="","",G23/C23)</f>
        <v/>
      </c>
    </row>
    <row r="24">
      <c r="A24">
        <f>IFERROR(INDEX('Import Data Entry'!$A$18:$A$51,20),"")</f>
        <v/>
      </c>
      <c r="B24" s="7">
        <f>IFERROR(INDEX('Import Data Entry'!$B$18:$B$51,20),"")</f>
        <v/>
      </c>
      <c r="C24" s="14">
        <f>IFERROR(INDEX('Import Data Entry'!$C$18:$C$51,20),"")</f>
        <v/>
      </c>
      <c r="D24" s="7">
        <f>IF(B24="","",B24*C24)</f>
        <v/>
      </c>
      <c r="E24" s="15">
        <f>IFERROR(INDEX('Import Data Entry'!$D$18:$D$51,20),"")</f>
        <v/>
      </c>
      <c r="F24" s="16">
        <f>IF(D24="","",D24/$D$41)</f>
        <v/>
      </c>
      <c r="G24" s="17">
        <f>IF(F24="","",F24*$B$44)</f>
        <v/>
      </c>
      <c r="H24" s="17">
        <f>IF(D24="","",G24/D24)</f>
        <v/>
      </c>
      <c r="I24" s="17">
        <f>IF(C24="","",G24/C24)</f>
        <v/>
      </c>
    </row>
    <row r="25">
      <c r="A25">
        <f>IFERROR(INDEX('Import Data Entry'!$A$18:$A$51,21),"")</f>
        <v/>
      </c>
      <c r="B25" s="7">
        <f>IFERROR(INDEX('Import Data Entry'!$B$18:$B$51,21),"")</f>
        <v/>
      </c>
      <c r="C25" s="14">
        <f>IFERROR(INDEX('Import Data Entry'!$C$18:$C$51,21),"")</f>
        <v/>
      </c>
      <c r="D25" s="7">
        <f>IF(B25="","",B25*C25)</f>
        <v/>
      </c>
      <c r="E25" s="15">
        <f>IFERROR(INDEX('Import Data Entry'!$D$18:$D$51,21),"")</f>
        <v/>
      </c>
      <c r="F25" s="16">
        <f>IF(D25="","",D25/$D$41)</f>
        <v/>
      </c>
      <c r="G25" s="17">
        <f>IF(F25="","",F25*$B$44)</f>
        <v/>
      </c>
      <c r="H25" s="17">
        <f>IF(D25="","",G25/D25)</f>
        <v/>
      </c>
      <c r="I25" s="17">
        <f>IF(C25="","",G25/C25)</f>
        <v/>
      </c>
    </row>
    <row r="26">
      <c r="A26">
        <f>IFERROR(INDEX('Import Data Entry'!$A$18:$A$51,22),"")</f>
        <v/>
      </c>
      <c r="B26" s="7">
        <f>IFERROR(INDEX('Import Data Entry'!$B$18:$B$51,22),"")</f>
        <v/>
      </c>
      <c r="C26" s="14">
        <f>IFERROR(INDEX('Import Data Entry'!$C$18:$C$51,22),"")</f>
        <v/>
      </c>
      <c r="D26" s="7">
        <f>IF(B26="","",B26*C26)</f>
        <v/>
      </c>
      <c r="E26" s="15">
        <f>IFERROR(INDEX('Import Data Entry'!$D$18:$D$51,22),"")</f>
        <v/>
      </c>
      <c r="F26" s="16">
        <f>IF(D26="","",D26/$D$41)</f>
        <v/>
      </c>
      <c r="G26" s="17">
        <f>IF(F26="","",F26*$B$44)</f>
        <v/>
      </c>
      <c r="H26" s="17">
        <f>IF(D26="","",G26/D26)</f>
        <v/>
      </c>
      <c r="I26" s="17">
        <f>IF(C26="","",G26/C26)</f>
        <v/>
      </c>
    </row>
    <row r="27">
      <c r="A27">
        <f>IFERROR(INDEX('Import Data Entry'!$A$18:$A$51,23),"")</f>
        <v/>
      </c>
      <c r="B27" s="7">
        <f>IFERROR(INDEX('Import Data Entry'!$B$18:$B$51,23),"")</f>
        <v/>
      </c>
      <c r="C27" s="14">
        <f>IFERROR(INDEX('Import Data Entry'!$C$18:$C$51,23),"")</f>
        <v/>
      </c>
      <c r="D27" s="7">
        <f>IF(B27="","",B27*C27)</f>
        <v/>
      </c>
      <c r="E27" s="15">
        <f>IFERROR(INDEX('Import Data Entry'!$D$18:$D$51,23),"")</f>
        <v/>
      </c>
      <c r="F27" s="16">
        <f>IF(D27="","",D27/$D$41)</f>
        <v/>
      </c>
      <c r="G27" s="17">
        <f>IF(F27="","",F27*$B$44)</f>
        <v/>
      </c>
      <c r="H27" s="17">
        <f>IF(D27="","",G27/D27)</f>
        <v/>
      </c>
      <c r="I27" s="17">
        <f>IF(C27="","",G27/C27)</f>
        <v/>
      </c>
    </row>
    <row r="28">
      <c r="A28">
        <f>IFERROR(INDEX('Import Data Entry'!$A$18:$A$51,24),"")</f>
        <v/>
      </c>
      <c r="B28" s="7">
        <f>IFERROR(INDEX('Import Data Entry'!$B$18:$B$51,24),"")</f>
        <v/>
      </c>
      <c r="C28" s="14">
        <f>IFERROR(INDEX('Import Data Entry'!$C$18:$C$51,24),"")</f>
        <v/>
      </c>
      <c r="D28" s="7">
        <f>IF(B28="","",B28*C28)</f>
        <v/>
      </c>
      <c r="E28" s="15">
        <f>IFERROR(INDEX('Import Data Entry'!$D$18:$D$51,24),"")</f>
        <v/>
      </c>
      <c r="F28" s="16">
        <f>IF(D28="","",D28/$D$41)</f>
        <v/>
      </c>
      <c r="G28" s="17">
        <f>IF(F28="","",F28*$B$44)</f>
        <v/>
      </c>
      <c r="H28" s="17">
        <f>IF(D28="","",G28/D28)</f>
        <v/>
      </c>
      <c r="I28" s="17">
        <f>IF(C28="","",G28/C28)</f>
        <v/>
      </c>
    </row>
    <row r="29">
      <c r="A29">
        <f>IFERROR(INDEX('Import Data Entry'!$A$18:$A$51,25),"")</f>
        <v/>
      </c>
      <c r="B29" s="7">
        <f>IFERROR(INDEX('Import Data Entry'!$B$18:$B$51,25),"")</f>
        <v/>
      </c>
      <c r="C29" s="14">
        <f>IFERROR(INDEX('Import Data Entry'!$C$18:$C$51,25),"")</f>
        <v/>
      </c>
      <c r="D29" s="7">
        <f>IF(B29="","",B29*C29)</f>
        <v/>
      </c>
      <c r="E29" s="15">
        <f>IFERROR(INDEX('Import Data Entry'!$D$18:$D$51,25),"")</f>
        <v/>
      </c>
      <c r="F29" s="16">
        <f>IF(D29="","",D29/$D$41)</f>
        <v/>
      </c>
      <c r="G29" s="17">
        <f>IF(F29="","",F29*$B$44)</f>
        <v/>
      </c>
      <c r="H29" s="17">
        <f>IF(D29="","",G29/D29)</f>
        <v/>
      </c>
      <c r="I29" s="17">
        <f>IF(C29="","",G29/C29)</f>
        <v/>
      </c>
    </row>
    <row r="30">
      <c r="A30">
        <f>IFERROR(INDEX('Import Data Entry'!$A$18:$A$51,26),"")</f>
        <v/>
      </c>
      <c r="B30" s="7">
        <f>IFERROR(INDEX('Import Data Entry'!$B$18:$B$51,26),"")</f>
        <v/>
      </c>
      <c r="C30" s="14">
        <f>IFERROR(INDEX('Import Data Entry'!$C$18:$C$51,26),"")</f>
        <v/>
      </c>
      <c r="D30" s="7">
        <f>IF(B30="","",B30*C30)</f>
        <v/>
      </c>
      <c r="E30" s="15">
        <f>IFERROR(INDEX('Import Data Entry'!$D$18:$D$51,26),"")</f>
        <v/>
      </c>
      <c r="F30" s="16">
        <f>IF(D30="","",D30/$D$41)</f>
        <v/>
      </c>
      <c r="G30" s="17">
        <f>IF(F30="","",F30*$B$44)</f>
        <v/>
      </c>
      <c r="H30" s="17">
        <f>IF(D30="","",G30/D30)</f>
        <v/>
      </c>
      <c r="I30" s="17">
        <f>IF(C30="","",G30/C30)</f>
        <v/>
      </c>
    </row>
    <row r="31">
      <c r="A31">
        <f>IFERROR(INDEX('Import Data Entry'!$A$18:$A$51,27),"")</f>
        <v/>
      </c>
      <c r="B31" s="7">
        <f>IFERROR(INDEX('Import Data Entry'!$B$18:$B$51,27),"")</f>
        <v/>
      </c>
      <c r="C31" s="14">
        <f>IFERROR(INDEX('Import Data Entry'!$C$18:$C$51,27),"")</f>
        <v/>
      </c>
      <c r="D31" s="7">
        <f>IF(B31="","",B31*C31)</f>
        <v/>
      </c>
      <c r="E31" s="15">
        <f>IFERROR(INDEX('Import Data Entry'!$D$18:$D$51,27),"")</f>
        <v/>
      </c>
      <c r="F31" s="16">
        <f>IF(D31="","",D31/$D$41)</f>
        <v/>
      </c>
      <c r="G31" s="17">
        <f>IF(F31="","",F31*$B$44)</f>
        <v/>
      </c>
      <c r="H31" s="17">
        <f>IF(D31="","",G31/D31)</f>
        <v/>
      </c>
      <c r="I31" s="17">
        <f>IF(C31="","",G31/C31)</f>
        <v/>
      </c>
    </row>
    <row r="32">
      <c r="A32">
        <f>IFERROR(INDEX('Import Data Entry'!$A$18:$A$51,28),"")</f>
        <v/>
      </c>
      <c r="B32" s="7">
        <f>IFERROR(INDEX('Import Data Entry'!$B$18:$B$51,28),"")</f>
        <v/>
      </c>
      <c r="C32" s="14">
        <f>IFERROR(INDEX('Import Data Entry'!$C$18:$C$51,28),"")</f>
        <v/>
      </c>
      <c r="D32" s="7">
        <f>IF(B32="","",B32*C32)</f>
        <v/>
      </c>
      <c r="E32" s="15">
        <f>IFERROR(INDEX('Import Data Entry'!$D$18:$D$51,28),"")</f>
        <v/>
      </c>
      <c r="F32" s="16">
        <f>IF(D32="","",D32/$D$41)</f>
        <v/>
      </c>
      <c r="G32" s="17">
        <f>IF(F32="","",F32*$B$44)</f>
        <v/>
      </c>
      <c r="H32" s="17">
        <f>IF(D32="","",G32/D32)</f>
        <v/>
      </c>
      <c r="I32" s="17">
        <f>IF(C32="","",G32/C32)</f>
        <v/>
      </c>
    </row>
    <row r="33">
      <c r="A33">
        <f>IFERROR(INDEX('Import Data Entry'!$A$18:$A$51,29),"")</f>
        <v/>
      </c>
      <c r="B33" s="7">
        <f>IFERROR(INDEX('Import Data Entry'!$B$18:$B$51,29),"")</f>
        <v/>
      </c>
      <c r="C33" s="14">
        <f>IFERROR(INDEX('Import Data Entry'!$C$18:$C$51,29),"")</f>
        <v/>
      </c>
      <c r="D33" s="7">
        <f>IF(B33="","",B33*C33)</f>
        <v/>
      </c>
      <c r="E33" s="15">
        <f>IFERROR(INDEX('Import Data Entry'!$D$18:$D$51,29),"")</f>
        <v/>
      </c>
      <c r="F33" s="16">
        <f>IF(D33="","",D33/$D$41)</f>
        <v/>
      </c>
      <c r="G33" s="17">
        <f>IF(F33="","",F33*$B$44)</f>
        <v/>
      </c>
      <c r="H33" s="17">
        <f>IF(D33="","",G33/D33)</f>
        <v/>
      </c>
      <c r="I33" s="17">
        <f>IF(C33="","",G33/C33)</f>
        <v/>
      </c>
    </row>
    <row r="34">
      <c r="A34">
        <f>IFERROR(INDEX('Import Data Entry'!$A$18:$A$51,30),"")</f>
        <v/>
      </c>
      <c r="B34" s="7">
        <f>IFERROR(INDEX('Import Data Entry'!$B$18:$B$51,30),"")</f>
        <v/>
      </c>
      <c r="C34" s="14">
        <f>IFERROR(INDEX('Import Data Entry'!$C$18:$C$51,30),"")</f>
        <v/>
      </c>
      <c r="D34" s="7">
        <f>IF(B34="","",B34*C34)</f>
        <v/>
      </c>
      <c r="E34" s="15">
        <f>IFERROR(INDEX('Import Data Entry'!$D$18:$D$51,30),"")</f>
        <v/>
      </c>
      <c r="F34" s="16">
        <f>IF(D34="","",D34/$D$41)</f>
        <v/>
      </c>
      <c r="G34" s="17">
        <f>IF(F34="","",F34*$B$44)</f>
        <v/>
      </c>
      <c r="H34" s="17">
        <f>IF(D34="","",G34/D34)</f>
        <v/>
      </c>
      <c r="I34" s="17">
        <f>IF(C34="","",G34/C34)</f>
        <v/>
      </c>
    </row>
    <row r="35">
      <c r="A35">
        <f>IFERROR(INDEX('Import Data Entry'!$A$18:$A$51,31),"")</f>
        <v/>
      </c>
      <c r="B35" s="7">
        <f>IFERROR(INDEX('Import Data Entry'!$B$18:$B$51,31),"")</f>
        <v/>
      </c>
      <c r="C35" s="14">
        <f>IFERROR(INDEX('Import Data Entry'!$C$18:$C$51,31),"")</f>
        <v/>
      </c>
      <c r="D35" s="7">
        <f>IF(B35="","",B35*C35)</f>
        <v/>
      </c>
      <c r="E35" s="15">
        <f>IFERROR(INDEX('Import Data Entry'!$D$18:$D$51,31),"")</f>
        <v/>
      </c>
      <c r="F35" s="16">
        <f>IF(D35="","",D35/$D$41)</f>
        <v/>
      </c>
      <c r="G35" s="17">
        <f>IF(F35="","",F35*$B$44)</f>
        <v/>
      </c>
      <c r="H35" s="17">
        <f>IF(D35="","",G35/D35)</f>
        <v/>
      </c>
      <c r="I35" s="17">
        <f>IF(C35="","",G35/C35)</f>
        <v/>
      </c>
    </row>
    <row r="36">
      <c r="A36">
        <f>IFERROR(INDEX('Import Data Entry'!$A$18:$A$51,32),"")</f>
        <v/>
      </c>
      <c r="B36" s="7">
        <f>IFERROR(INDEX('Import Data Entry'!$B$18:$B$51,32),"")</f>
        <v/>
      </c>
      <c r="C36" s="14">
        <f>IFERROR(INDEX('Import Data Entry'!$C$18:$C$51,32),"")</f>
        <v/>
      </c>
      <c r="D36" s="7">
        <f>IF(B36="","",B36*C36)</f>
        <v/>
      </c>
      <c r="E36" s="15">
        <f>IFERROR(INDEX('Import Data Entry'!$D$18:$D$51,32),"")</f>
        <v/>
      </c>
      <c r="F36" s="16">
        <f>IF(D36="","",D36/$D$41)</f>
        <v/>
      </c>
      <c r="G36" s="17">
        <f>IF(F36="","",F36*$B$44)</f>
        <v/>
      </c>
      <c r="H36" s="17">
        <f>IF(D36="","",G36/D36)</f>
        <v/>
      </c>
      <c r="I36" s="17">
        <f>IF(C36="","",G36/C36)</f>
        <v/>
      </c>
    </row>
    <row r="37">
      <c r="A37">
        <f>IFERROR(INDEX('Import Data Entry'!$A$18:$A$51,33),"")</f>
        <v/>
      </c>
      <c r="B37" s="7">
        <f>IFERROR(INDEX('Import Data Entry'!$B$18:$B$51,33),"")</f>
        <v/>
      </c>
      <c r="C37" s="14">
        <f>IFERROR(INDEX('Import Data Entry'!$C$18:$C$51,33),"")</f>
        <v/>
      </c>
      <c r="D37" s="7">
        <f>IF(B37="","",B37*C37)</f>
        <v/>
      </c>
      <c r="E37" s="15">
        <f>IFERROR(INDEX('Import Data Entry'!$D$18:$D$51,33),"")</f>
        <v/>
      </c>
      <c r="F37" s="16">
        <f>IF(D37="","",D37/$D$41)</f>
        <v/>
      </c>
      <c r="G37" s="17">
        <f>IF(F37="","",F37*$B$44)</f>
        <v/>
      </c>
      <c r="H37" s="17">
        <f>IF(D37="","",G37/D37)</f>
        <v/>
      </c>
      <c r="I37" s="17">
        <f>IF(C37="","",G37/C37)</f>
        <v/>
      </c>
    </row>
    <row r="38">
      <c r="A38">
        <f>IFERROR(INDEX('Import Data Entry'!$A$18:$A$51,34),"")</f>
        <v/>
      </c>
      <c r="B38" s="7">
        <f>IFERROR(INDEX('Import Data Entry'!$B$18:$B$51,34),"")</f>
        <v/>
      </c>
      <c r="C38" s="14">
        <f>IFERROR(INDEX('Import Data Entry'!$C$18:$C$51,34),"")</f>
        <v/>
      </c>
      <c r="D38" s="7">
        <f>IF(B38="","",B38*C38)</f>
        <v/>
      </c>
      <c r="E38" s="15">
        <f>IFERROR(INDEX('Import Data Entry'!$D$18:$D$51,34),"")</f>
        <v/>
      </c>
      <c r="F38" s="16">
        <f>IF(D38="","",D38/$D$41)</f>
        <v/>
      </c>
      <c r="G38" s="17">
        <f>IF(F38="","",F38*$B$44)</f>
        <v/>
      </c>
      <c r="H38" s="17">
        <f>IF(D38="","",G38/D38)</f>
        <v/>
      </c>
      <c r="I38" s="17">
        <f>IF(C38="","",G38/C38)</f>
        <v/>
      </c>
    </row>
    <row r="39">
      <c r="A39">
        <f>IFERROR(INDEX('Import Data Entry'!$A$18:$A$51,35),"")</f>
        <v/>
      </c>
      <c r="B39" s="7">
        <f>IFERROR(INDEX('Import Data Entry'!$B$18:$B$51,35),"")</f>
        <v/>
      </c>
      <c r="C39" s="14">
        <f>IFERROR(INDEX('Import Data Entry'!$C$18:$C$51,35),"")</f>
        <v/>
      </c>
      <c r="D39" s="7">
        <f>IF(B39="","",B39*C39)</f>
        <v/>
      </c>
      <c r="E39" s="15">
        <f>IFERROR(INDEX('Import Data Entry'!$D$18:$D$51,35),"")</f>
        <v/>
      </c>
      <c r="F39" s="16">
        <f>IF(D39="","",D39/$D$41)</f>
        <v/>
      </c>
      <c r="G39" s="17">
        <f>IF(F39="","",F39*$B$44)</f>
        <v/>
      </c>
      <c r="H39" s="17">
        <f>IF(D39="","",G39/D39)</f>
        <v/>
      </c>
      <c r="I39" s="17">
        <f>IF(C39="","",G39/C39)</f>
        <v/>
      </c>
    </row>
    <row r="40"/>
    <row r="41">
      <c r="A41" s="2" t="inlineStr">
        <is>
          <t>Totals</t>
        </is>
      </c>
      <c r="C41" s="18">
        <f>SUM(C5:C39)</f>
        <v/>
      </c>
      <c r="D41" s="19">
        <f>SUM(D5:D39)</f>
        <v/>
      </c>
      <c r="E41" s="20">
        <f>SUM(E5:E39)</f>
        <v/>
      </c>
      <c r="G41" s="21">
        <f>SUM(G5:G39)</f>
        <v/>
      </c>
    </row>
    <row r="42">
      <c r="A42" t="inlineStr">
        <is>
          <t>Totals</t>
        </is>
      </c>
    </row>
    <row r="43"/>
    <row r="44">
      <c r="A44" t="inlineStr">
        <is>
          <t>Shipment cost</t>
        </is>
      </c>
      <c r="B44" s="9">
        <f>'Import Data Entry'!B13</f>
        <v/>
      </c>
      <c r="C44" t="inlineStr">
        <is>
          <t>Total # of Skids:</t>
        </is>
      </c>
      <c r="D44" s="20">
        <f>'Import Data Entry'!B12</f>
        <v/>
      </c>
    </row>
    <row r="45"/>
    <row r="46">
      <c r="A46" s="2" t="inlineStr">
        <is>
          <t>Total weight(LBS)</t>
        </is>
      </c>
      <c r="B46" t="inlineStr">
        <is>
          <t>Total weight(KGS)</t>
        </is>
      </c>
      <c r="C46" t="inlineStr">
        <is>
          <t>Shipment weight LBS:</t>
        </is>
      </c>
      <c r="D46" s="22">
        <f>'Import Data Entry'!B11</f>
        <v/>
      </c>
    </row>
    <row r="47">
      <c r="C47" t="inlineStr">
        <is>
          <t>Vessel name:</t>
        </is>
      </c>
      <c r="D47" s="2">
        <f>'Import Data Entry'!B5</f>
        <v/>
      </c>
    </row>
    <row r="48">
      <c r="C48" t="inlineStr">
        <is>
          <t>Entry Date:</t>
        </is>
      </c>
      <c r="D48" s="23">
        <f>'Import Data Entry'!B6</f>
        <v/>
      </c>
    </row>
    <row r="50">
      <c r="A50" s="24" t="inlineStr">
        <is>
          <t>AUTO-CALCULATED: All data pulls from Import Data Entry sheet. Review calculations and copy Cost/M values to Historical Log when complete.</t>
        </is>
      </c>
    </row>
    <row r="51"/>
    <row r="52"/>
  </sheetData>
  <mergeCells count="2">
    <mergeCell ref="A1:I1"/>
    <mergeCell ref="A50:I52"/>
  </mergeCell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6" customWidth="1" min="4" max="4"/>
  </cols>
  <sheetData>
    <row r="1">
      <c r="A1" s="10" t="inlineStr">
        <is>
          <t>Part #</t>
        </is>
      </c>
      <c r="B1" s="10" t="inlineStr">
        <is>
          <t>Freight Cost/M</t>
        </is>
      </c>
      <c r="C1" s="10" t="inlineStr">
        <is>
          <t>Date</t>
        </is>
      </c>
      <c r="D1" s="10" t="inlineStr">
        <is>
          <t>Net Weight</t>
        </is>
      </c>
    </row>
    <row r="2">
      <c r="A2" s="25" t="inlineStr">
        <is>
          <t>→ To add current shipment data, copy Cost/M values from Shipment Calculation tab and paste below</t>
        </is>
      </c>
    </row>
  </sheetData>
  <mergeCells count="1"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14" customWidth="1" min="4" max="4"/>
    <col width="25" customWidth="1" min="5" max="5"/>
  </cols>
  <sheetData>
    <row r="1">
      <c r="A1" s="1" t="inlineStr">
        <is>
          <t>ERP IMPORT - COPY TO CLIPBOARD</t>
        </is>
      </c>
    </row>
    <row r="2">
      <c r="A2" s="10" t="inlineStr">
        <is>
          <t>Part_Number</t>
        </is>
      </c>
      <c r="B2" s="10" t="inlineStr">
        <is>
          <t>DRM_Code</t>
        </is>
      </c>
      <c r="C2" s="10" t="inlineStr">
        <is>
          <t>Freight_Cost_Per_M</t>
        </is>
      </c>
      <c r="D2" s="10" t="inlineStr">
        <is>
          <t>Entry_Date</t>
        </is>
      </c>
      <c r="E2" s="10" t="inlineStr">
        <is>
          <t>Vessel</t>
        </is>
      </c>
    </row>
    <row r="3">
      <c r="A3">
        <f>'Shipment Calculation'!A5</f>
        <v/>
      </c>
      <c r="B3" s="3" t="inlineStr">
        <is>
          <t>18735</t>
        </is>
      </c>
      <c r="C3" s="26">
        <f>'Shipment Calculation'!I5</f>
        <v/>
      </c>
      <c r="D3" s="27">
        <f>'Import Data Entry'!B6</f>
        <v/>
      </c>
      <c r="E3">
        <f>'Import Data Entry'!B5</f>
        <v/>
      </c>
    </row>
    <row r="4">
      <c r="A4">
        <f>'Shipment Calculation'!A6</f>
        <v/>
      </c>
      <c r="B4" s="3" t="inlineStr">
        <is>
          <t>18732</t>
        </is>
      </c>
      <c r="C4" s="26">
        <f>'Shipment Calculation'!I6</f>
        <v/>
      </c>
      <c r="D4" s="27">
        <f>'Import Data Entry'!B6</f>
        <v/>
      </c>
      <c r="E4">
        <f>'Import Data Entry'!B5</f>
        <v/>
      </c>
    </row>
    <row r="5">
      <c r="A5">
        <f>'Shipment Calculation'!A7</f>
        <v/>
      </c>
      <c r="B5" s="3" t="inlineStr">
        <is>
          <t>18736</t>
        </is>
      </c>
      <c r="C5" s="26">
        <f>'Shipment Calculation'!I7</f>
        <v/>
      </c>
      <c r="D5" s="27">
        <f>'Import Data Entry'!B6</f>
        <v/>
      </c>
      <c r="E5">
        <f>'Import Data Entry'!B5</f>
        <v/>
      </c>
    </row>
    <row r="6">
      <c r="A6">
        <f>'Shipment Calculation'!A8</f>
        <v/>
      </c>
      <c r="B6" s="3" t="inlineStr">
        <is>
          <t>18734</t>
        </is>
      </c>
      <c r="C6" s="26">
        <f>'Shipment Calculation'!I8</f>
        <v/>
      </c>
      <c r="D6" s="27">
        <f>'Import Data Entry'!B6</f>
        <v/>
      </c>
      <c r="E6">
        <f>'Import Data Entry'!B5</f>
        <v/>
      </c>
    </row>
    <row r="7">
      <c r="A7">
        <f>'Shipment Calculation'!A9</f>
        <v/>
      </c>
      <c r="B7" s="3" t="n"/>
      <c r="C7" s="26">
        <f>'Shipment Calculation'!I9</f>
        <v/>
      </c>
      <c r="D7" s="27">
        <f>'Import Data Entry'!B6</f>
        <v/>
      </c>
      <c r="E7">
        <f>'Import Data Entry'!B5</f>
        <v/>
      </c>
    </row>
    <row r="8">
      <c r="A8">
        <f>'Shipment Calculation'!A10</f>
        <v/>
      </c>
      <c r="B8" s="3" t="n"/>
      <c r="C8" s="26">
        <f>'Shipment Calculation'!I10</f>
        <v/>
      </c>
      <c r="D8" s="27">
        <f>'Import Data Entry'!B6</f>
        <v/>
      </c>
      <c r="E8">
        <f>'Import Data Entry'!B5</f>
        <v/>
      </c>
    </row>
    <row r="9">
      <c r="A9">
        <f>'Shipment Calculation'!A11</f>
        <v/>
      </c>
      <c r="B9" s="3" t="n"/>
      <c r="C9" s="26">
        <f>'Shipment Calculation'!I11</f>
        <v/>
      </c>
      <c r="D9" s="27">
        <f>'Import Data Entry'!B6</f>
        <v/>
      </c>
      <c r="E9">
        <f>'Import Data Entry'!B5</f>
        <v/>
      </c>
    </row>
    <row r="10">
      <c r="A10">
        <f>'Shipment Calculation'!A12</f>
        <v/>
      </c>
      <c r="B10" s="3" t="n"/>
      <c r="C10" s="26">
        <f>'Shipment Calculation'!I12</f>
        <v/>
      </c>
      <c r="D10" s="27">
        <f>'Import Data Entry'!B6</f>
        <v/>
      </c>
      <c r="E10">
        <f>'Import Data Entry'!B5</f>
        <v/>
      </c>
    </row>
    <row r="11">
      <c r="A11">
        <f>'Shipment Calculation'!A13</f>
        <v/>
      </c>
      <c r="B11" s="3" t="n"/>
      <c r="C11" s="26">
        <f>'Shipment Calculation'!I13</f>
        <v/>
      </c>
      <c r="D11" s="27">
        <f>'Import Data Entry'!B6</f>
        <v/>
      </c>
      <c r="E11">
        <f>'Import Data Entry'!B5</f>
        <v/>
      </c>
    </row>
    <row r="12">
      <c r="A12">
        <f>'Shipment Calculation'!A14</f>
        <v/>
      </c>
      <c r="B12" s="3" t="n"/>
      <c r="C12" s="26">
        <f>'Shipment Calculation'!I14</f>
        <v/>
      </c>
      <c r="D12" s="27">
        <f>'Import Data Entry'!B6</f>
        <v/>
      </c>
      <c r="E12">
        <f>'Import Data Entry'!B5</f>
        <v/>
      </c>
    </row>
    <row r="13">
      <c r="A13">
        <f>'Shipment Calculation'!A15</f>
        <v/>
      </c>
      <c r="B13" s="3" t="n"/>
      <c r="C13" s="26">
        <f>'Shipment Calculation'!I15</f>
        <v/>
      </c>
      <c r="D13" s="27">
        <f>'Import Data Entry'!B6</f>
        <v/>
      </c>
      <c r="E13">
        <f>'Import Data Entry'!B5</f>
        <v/>
      </c>
    </row>
    <row r="14">
      <c r="A14">
        <f>'Shipment Calculation'!A16</f>
        <v/>
      </c>
      <c r="B14" s="3" t="n"/>
      <c r="C14" s="26">
        <f>'Shipment Calculation'!I16</f>
        <v/>
      </c>
      <c r="D14" s="27">
        <f>'Import Data Entry'!B6</f>
        <v/>
      </c>
      <c r="E14">
        <f>'Import Data Entry'!B5</f>
        <v/>
      </c>
    </row>
    <row r="15">
      <c r="A15">
        <f>'Shipment Calculation'!A17</f>
        <v/>
      </c>
      <c r="B15" s="3" t="n"/>
      <c r="C15" s="26">
        <f>'Shipment Calculation'!I17</f>
        <v/>
      </c>
      <c r="D15" s="27">
        <f>'Import Data Entry'!B6</f>
        <v/>
      </c>
      <c r="E15">
        <f>'Import Data Entry'!B5</f>
        <v/>
      </c>
    </row>
    <row r="16">
      <c r="A16">
        <f>'Shipment Calculation'!A18</f>
        <v/>
      </c>
      <c r="B16" s="3" t="n"/>
      <c r="C16" s="26">
        <f>'Shipment Calculation'!I18</f>
        <v/>
      </c>
      <c r="D16" s="27">
        <f>'Import Data Entry'!B6</f>
        <v/>
      </c>
      <c r="E16">
        <f>'Import Data Entry'!B5</f>
        <v/>
      </c>
    </row>
    <row r="17">
      <c r="A17">
        <f>'Shipment Calculation'!A19</f>
        <v/>
      </c>
      <c r="B17" s="3" t="n"/>
      <c r="C17" s="26">
        <f>'Shipment Calculation'!I19</f>
        <v/>
      </c>
      <c r="D17" s="27">
        <f>'Import Data Entry'!B6</f>
        <v/>
      </c>
      <c r="E17">
        <f>'Import Data Entry'!B5</f>
        <v/>
      </c>
    </row>
    <row r="18">
      <c r="A18">
        <f>'Shipment Calculation'!A20</f>
        <v/>
      </c>
      <c r="B18" s="3" t="n"/>
      <c r="C18" s="26">
        <f>'Shipment Calculation'!I20</f>
        <v/>
      </c>
      <c r="D18" s="27">
        <f>'Import Data Entry'!B6</f>
        <v/>
      </c>
      <c r="E18">
        <f>'Import Data Entry'!B5</f>
        <v/>
      </c>
    </row>
    <row r="19">
      <c r="A19">
        <f>'Shipment Calculation'!A21</f>
        <v/>
      </c>
      <c r="B19" s="3" t="n"/>
      <c r="C19" s="26">
        <f>'Shipment Calculation'!I21</f>
        <v/>
      </c>
      <c r="D19" s="27">
        <f>'Import Data Entry'!B6</f>
        <v/>
      </c>
      <c r="E19">
        <f>'Import Data Entry'!B5</f>
        <v/>
      </c>
    </row>
    <row r="20">
      <c r="A20">
        <f>'Shipment Calculation'!A22</f>
        <v/>
      </c>
      <c r="B20" s="3" t="n"/>
      <c r="C20" s="26">
        <f>'Shipment Calculation'!I22</f>
        <v/>
      </c>
      <c r="D20" s="27">
        <f>'Import Data Entry'!B6</f>
        <v/>
      </c>
      <c r="E20">
        <f>'Import Data Entry'!B5</f>
        <v/>
      </c>
    </row>
    <row r="21">
      <c r="A21">
        <f>'Shipment Calculation'!A23</f>
        <v/>
      </c>
      <c r="B21" s="3" t="n"/>
      <c r="C21" s="26">
        <f>'Shipment Calculation'!I23</f>
        <v/>
      </c>
      <c r="D21" s="27">
        <f>'Import Data Entry'!B6</f>
        <v/>
      </c>
      <c r="E21">
        <f>'Import Data Entry'!B5</f>
        <v/>
      </c>
    </row>
    <row r="22">
      <c r="A22">
        <f>'Shipment Calculation'!A24</f>
        <v/>
      </c>
      <c r="B22" s="3" t="n"/>
      <c r="C22" s="26">
        <f>'Shipment Calculation'!I24</f>
        <v/>
      </c>
      <c r="D22" s="27">
        <f>'Import Data Entry'!B6</f>
        <v/>
      </c>
      <c r="E22">
        <f>'Import Data Entry'!B5</f>
        <v/>
      </c>
    </row>
    <row r="23">
      <c r="A23">
        <f>'Shipment Calculation'!A25</f>
        <v/>
      </c>
      <c r="B23" s="3" t="n"/>
      <c r="C23" s="26">
        <f>'Shipment Calculation'!I25</f>
        <v/>
      </c>
      <c r="D23" s="27">
        <f>'Import Data Entry'!B6</f>
        <v/>
      </c>
      <c r="E23">
        <f>'Import Data Entry'!B5</f>
        <v/>
      </c>
    </row>
    <row r="24">
      <c r="A24">
        <f>'Shipment Calculation'!A26</f>
        <v/>
      </c>
      <c r="B24" s="3" t="n"/>
      <c r="C24" s="26">
        <f>'Shipment Calculation'!I26</f>
        <v/>
      </c>
      <c r="D24" s="27">
        <f>'Import Data Entry'!B6</f>
        <v/>
      </c>
      <c r="E24">
        <f>'Import Data Entry'!B5</f>
        <v/>
      </c>
    </row>
    <row r="25">
      <c r="A25">
        <f>'Shipment Calculation'!A27</f>
        <v/>
      </c>
      <c r="B25" s="3" t="n"/>
      <c r="C25" s="26">
        <f>'Shipment Calculation'!I27</f>
        <v/>
      </c>
      <c r="D25" s="27">
        <f>'Import Data Entry'!B6</f>
        <v/>
      </c>
      <c r="E25">
        <f>'Import Data Entry'!B5</f>
        <v/>
      </c>
    </row>
    <row r="26">
      <c r="A26">
        <f>'Shipment Calculation'!A28</f>
        <v/>
      </c>
      <c r="B26" s="3" t="n"/>
      <c r="C26" s="26">
        <f>'Shipment Calculation'!I28</f>
        <v/>
      </c>
      <c r="D26" s="27">
        <f>'Import Data Entry'!B6</f>
        <v/>
      </c>
      <c r="E26">
        <f>'Import Data Entry'!B5</f>
        <v/>
      </c>
    </row>
    <row r="27">
      <c r="A27">
        <f>'Shipment Calculation'!A29</f>
        <v/>
      </c>
      <c r="B27" s="3" t="n"/>
      <c r="C27" s="26">
        <f>'Shipment Calculation'!I29</f>
        <v/>
      </c>
      <c r="D27" s="27">
        <f>'Import Data Entry'!B6</f>
        <v/>
      </c>
      <c r="E27">
        <f>'Import Data Entry'!B5</f>
        <v/>
      </c>
    </row>
    <row r="28">
      <c r="A28">
        <f>'Shipment Calculation'!A30</f>
        <v/>
      </c>
      <c r="B28" s="3" t="n"/>
      <c r="C28" s="26">
        <f>'Shipment Calculation'!I30</f>
        <v/>
      </c>
      <c r="D28" s="27">
        <f>'Import Data Entry'!B6</f>
        <v/>
      </c>
      <c r="E28">
        <f>'Import Data Entry'!B5</f>
        <v/>
      </c>
    </row>
    <row r="29">
      <c r="A29">
        <f>'Shipment Calculation'!A31</f>
        <v/>
      </c>
      <c r="B29" s="3" t="n"/>
      <c r="C29" s="26">
        <f>'Shipment Calculation'!I31</f>
        <v/>
      </c>
      <c r="D29" s="27">
        <f>'Import Data Entry'!B6</f>
        <v/>
      </c>
      <c r="E29">
        <f>'Import Data Entry'!B5</f>
        <v/>
      </c>
    </row>
    <row r="30">
      <c r="A30">
        <f>'Shipment Calculation'!A32</f>
        <v/>
      </c>
      <c r="B30" s="3" t="n"/>
      <c r="C30" s="26">
        <f>'Shipment Calculation'!I32</f>
        <v/>
      </c>
      <c r="D30" s="27">
        <f>'Import Data Entry'!B6</f>
        <v/>
      </c>
      <c r="E30">
        <f>'Import Data Entry'!B5</f>
        <v/>
      </c>
    </row>
    <row r="31">
      <c r="A31">
        <f>'Shipment Calculation'!A33</f>
        <v/>
      </c>
      <c r="B31" s="3" t="n"/>
      <c r="C31" s="26">
        <f>'Shipment Calculation'!I33</f>
        <v/>
      </c>
      <c r="D31" s="27">
        <f>'Import Data Entry'!B6</f>
        <v/>
      </c>
      <c r="E31">
        <f>'Import Data Entry'!B5</f>
        <v/>
      </c>
    </row>
    <row r="32">
      <c r="A32">
        <f>'Shipment Calculation'!A34</f>
        <v/>
      </c>
      <c r="B32" s="3" t="n"/>
      <c r="C32" s="26">
        <f>'Shipment Calculation'!I34</f>
        <v/>
      </c>
      <c r="D32" s="27">
        <f>'Import Data Entry'!B6</f>
        <v/>
      </c>
      <c r="E32">
        <f>'Import Data Entry'!B5</f>
        <v/>
      </c>
    </row>
    <row r="33">
      <c r="A33">
        <f>'Shipment Calculation'!A35</f>
        <v/>
      </c>
      <c r="B33" s="3" t="n"/>
      <c r="C33" s="26">
        <f>'Shipment Calculation'!I35</f>
        <v/>
      </c>
      <c r="D33" s="27">
        <f>'Import Data Entry'!B6</f>
        <v/>
      </c>
      <c r="E33">
        <f>'Import Data Entry'!B5</f>
        <v/>
      </c>
    </row>
    <row r="34">
      <c r="A34">
        <f>'Shipment Calculation'!A36</f>
        <v/>
      </c>
      <c r="B34" s="3" t="n"/>
      <c r="C34" s="26">
        <f>'Shipment Calculation'!I36</f>
        <v/>
      </c>
      <c r="D34" s="27">
        <f>'Import Data Entry'!B6</f>
        <v/>
      </c>
      <c r="E34">
        <f>'Import Data Entry'!B5</f>
        <v/>
      </c>
    </row>
    <row r="35">
      <c r="A35">
        <f>'Shipment Calculation'!A37</f>
        <v/>
      </c>
      <c r="B35" s="3" t="n"/>
      <c r="C35" s="26">
        <f>'Shipment Calculation'!I37</f>
        <v/>
      </c>
      <c r="D35" s="27">
        <f>'Import Data Entry'!B6</f>
        <v/>
      </c>
      <c r="E35">
        <f>'Import Data Entry'!B5</f>
        <v/>
      </c>
    </row>
    <row r="36">
      <c r="A36">
        <f>'Shipment Calculation'!A38</f>
        <v/>
      </c>
      <c r="B36" s="3" t="n"/>
      <c r="C36" s="26">
        <f>'Shipment Calculation'!I38</f>
        <v/>
      </c>
      <c r="D36" s="27">
        <f>'Import Data Entry'!B6</f>
        <v/>
      </c>
      <c r="E36">
        <f>'Import Data Entry'!B5</f>
        <v/>
      </c>
    </row>
    <row r="37">
      <c r="A37">
        <f>'Shipment Calculation'!A39</f>
        <v/>
      </c>
      <c r="B37" s="3" t="n"/>
      <c r="C37" s="26">
        <f>'Shipment Calculation'!I39</f>
        <v/>
      </c>
      <c r="D37" s="27">
        <f>'Import Data Entry'!B6</f>
        <v/>
      </c>
      <c r="E37">
        <f>'Import Data Entry'!B5</f>
        <v/>
      </c>
    </row>
  </sheetData>
  <autoFilter ref="A2:E37"/>
  <mergeCells count="1">
    <mergeCell ref="A1:E1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 Reference Matrix</t>
        </is>
      </c>
    </row>
    <row r="2">
      <c r="A2" t="inlineStr">
        <is>
          <t>Part #</t>
        </is>
      </c>
      <c r="B2" t="inlineStr">
        <is>
          <t>Cost History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2026-01-06T16:36:15Z</dcterms:created>
  <dcterms:modified xsi:type="dcterms:W3CDTF">2026-01-06T16:36:15Z</dcterms:modified>
</cp:coreProperties>
</file>