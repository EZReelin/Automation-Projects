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 Data Entry" sheetId="1" state="visible" r:id="rId1"/>
    <sheet name="Shipment Calculation" sheetId="2" state="visible" r:id="rId2"/>
    <sheet name="Historical Log" sheetId="3" state="visible" r:id="rId3"/>
    <sheet name="ERP Upload Template" sheetId="4" state="visible" r:id="rId4"/>
    <sheet name="Sheet2" sheetId="5" state="visible" r:id="rId5"/>
  </sheets>
  <definedNames>
    <definedName name="NetFreight">'Import Data Entry'!$B$13</definedName>
    <definedName name="ShipmentDate">'Import Data Entry'!$B$6</definedName>
    <definedName name="VesselName">'Import Data Entry'!$B$5</definedName>
    <definedName name="TotalSkids">'Import Data Entry'!$B$11</definedName>
    <definedName name="_xlnm._FilterDatabase" localSheetId="3" hidden="1">'ERP Upload Template'!$A$2:$E$37</definedName>
  </definedNames>
  <calcPr calcId="124519" fullCalcOnLoad="1"/>
</workbook>
</file>

<file path=xl/styles.xml><?xml version="1.0" encoding="utf-8"?>
<styleSheet xmlns="http://schemas.openxmlformats.org/spreadsheetml/2006/main">
  <numFmts count="4">
    <numFmt numFmtId="164" formatCode="MM/DD/YYYY"/>
    <numFmt numFmtId="165" formatCode="&quot;$&quot;#,##0.00"/>
    <numFmt numFmtId="166" formatCode="0.000"/>
    <numFmt numFmtId="167" formatCode="0.0000"/>
  </numFmts>
  <fonts count="4">
    <font>
      <name val="Calibri"/>
      <family val="2"/>
      <color theme="1"/>
      <sz val="11"/>
      <scheme val="minor"/>
    </font>
    <font>
      <b val="1"/>
      <sz val="14"/>
    </font>
    <font>
      <b val="1"/>
    </font>
    <font>
      <b val="1"/>
      <color rgb="00FF0000"/>
    </font>
  </fonts>
  <fills count="6">
    <fill>
      <patternFill/>
    </fill>
    <fill>
      <patternFill patternType="gray125"/>
    </fill>
    <fill>
      <patternFill patternType="solid">
        <fgColor rgb="0090EE90"/>
        <bgColor rgb="0090EE90"/>
      </patternFill>
    </fill>
    <fill>
      <patternFill patternType="solid">
        <fgColor rgb="00FFFF00"/>
        <bgColor rgb="00FFFF00"/>
      </patternFill>
    </fill>
    <fill>
      <patternFill patternType="solid">
        <fgColor rgb="00ADD8E6"/>
        <bgColor rgb="00ADD8E6"/>
      </patternFill>
    </fill>
    <fill>
      <patternFill patternType="solid">
        <fgColor rgb="00FFFFCC"/>
        <bgColor rgb="00FFFFCC"/>
      </patternFill>
    </fill>
  </fills>
  <borders count="2">
    <border>
      <left/>
      <right/>
      <top/>
      <bottom/>
      <diagonal/>
    </border>
    <border>
      <left style="thin"/>
      <right style="thin"/>
      <top style="thin"/>
      <bottom style="thin"/>
    </border>
  </borders>
  <cellStyleXfs count="1">
    <xf numFmtId="0" fontId="0" fillId="0" borderId="0"/>
  </cellStyleXfs>
  <cellXfs count="28">
    <xf numFmtId="0" fontId="0" fillId="0" borderId="0" pivotButton="0" quotePrefix="0" xfId="0"/>
    <xf numFmtId="0" fontId="1" fillId="0" borderId="0" applyAlignment="1" pivotButton="0" quotePrefix="0" xfId="0">
      <alignment horizontal="center" vertical="center"/>
    </xf>
    <xf numFmtId="0" fontId="2" fillId="0" borderId="0" pivotButton="0" quotePrefix="0" xfId="0"/>
    <xf numFmtId="0" fontId="0" fillId="2" borderId="0" pivotButton="0" quotePrefix="0" xfId="0"/>
    <xf numFmtId="164" fontId="0" fillId="2" borderId="0" pivotButton="0" quotePrefix="0" xfId="0"/>
    <xf numFmtId="165" fontId="0" fillId="2" borderId="0" pivotButton="0" quotePrefix="0" xfId="0"/>
    <xf numFmtId="2" fontId="0" fillId="2" borderId="0" pivotButton="0" quotePrefix="0" xfId="0"/>
    <xf numFmtId="3" fontId="0" fillId="2" borderId="0" pivotButton="0" quotePrefix="0" xfId="0"/>
    <xf numFmtId="165" fontId="2" fillId="3" borderId="0" pivotButton="0" quotePrefix="0" xfId="0"/>
    <xf numFmtId="0" fontId="2" fillId="4" borderId="1" applyAlignment="1" pivotButton="0" quotePrefix="0" xfId="0">
      <alignment horizontal="center" vertical="center"/>
    </xf>
    <xf numFmtId="166" fontId="0" fillId="2" borderId="0" pivotButton="0" quotePrefix="0" xfId="0"/>
    <xf numFmtId="0" fontId="0" fillId="0" borderId="1" applyAlignment="1" pivotButton="0" quotePrefix="0" xfId="0">
      <alignment vertical="top" wrapText="1"/>
    </xf>
    <xf numFmtId="0" fontId="3" fillId="0" borderId="0" applyAlignment="1" pivotButton="0" quotePrefix="0" xfId="0">
      <alignment horizontal="center" vertical="center"/>
    </xf>
    <xf numFmtId="2" fontId="0" fillId="0" borderId="0" pivotButton="0" quotePrefix="0" xfId="0"/>
    <xf numFmtId="166" fontId="0" fillId="0" borderId="0" pivotButton="0" quotePrefix="0" xfId="0"/>
    <xf numFmtId="3" fontId="0" fillId="0" borderId="0" pivotButton="0" quotePrefix="0" xfId="0"/>
    <xf numFmtId="10" fontId="0" fillId="0" borderId="0" pivotButton="0" quotePrefix="0" xfId="0"/>
    <xf numFmtId="165" fontId="0" fillId="0" borderId="0" pivotButton="0" quotePrefix="0" xfId="0"/>
    <xf numFmtId="166" fontId="2" fillId="0" borderId="0" pivotButton="0" quotePrefix="0" xfId="0"/>
    <xf numFmtId="2" fontId="2" fillId="0" borderId="0" pivotButton="0" quotePrefix="0" xfId="0"/>
    <xf numFmtId="3" fontId="2" fillId="0" borderId="0" pivotButton="0" quotePrefix="0" xfId="0"/>
    <xf numFmtId="165" fontId="2" fillId="0" borderId="0" pivotButton="0" quotePrefix="0" xfId="0"/>
    <xf numFmtId="2" fontId="2" fillId="3" borderId="0" pivotButton="0" quotePrefix="0" xfId="0"/>
    <xf numFmtId="164" fontId="2" fillId="0" borderId="0" pivotButton="0" quotePrefix="0" xfId="0"/>
    <xf numFmtId="0" fontId="0" fillId="4" borderId="1" applyAlignment="1" pivotButton="0" quotePrefix="0" xfId="0">
      <alignment vertical="top" wrapText="1"/>
    </xf>
    <xf numFmtId="0" fontId="0" fillId="5" borderId="0" applyAlignment="1" pivotButton="0" quotePrefix="0" xfId="0">
      <alignment vertical="top" wrapText="1"/>
    </xf>
    <xf numFmtId="167" fontId="0" fillId="0" borderId="0" pivotButton="0" quotePrefix="0" xfId="0"/>
    <xf numFmtId="164" fontId="0" fillId="0" borderId="0" pivotButton="0" quotePrefix="0" xfId="0"/>
  </cellXfs>
  <cellStyles count="1">
    <cellStyle name="Normal" xfId="0" builtinId="0" hidden="0"/>
  </cellStyles>
  <dxfs count="2">
    <dxf>
      <fill>
        <patternFill patternType="solid">
          <fgColor rgb="00C6EFCE"/>
          <bgColor rgb="00C6EFCE"/>
        </patternFill>
      </fill>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2"/>
  <sheetViews>
    <sheetView workbookViewId="0">
      <pane ySplit="16" topLeftCell="A17" activePane="bottomLeft" state="frozen"/>
      <selection pane="bottomLeft" activeCell="A1" sqref="A1"/>
    </sheetView>
  </sheetViews>
  <sheetFormatPr baseColWidth="8" defaultRowHeight="15"/>
  <cols>
    <col width="32" customWidth="1" min="1" max="1"/>
    <col width="18" customWidth="1" min="2" max="2"/>
    <col width="15" customWidth="1" min="3" max="3"/>
    <col width="15" customWidth="1" min="4" max="4"/>
    <col width="10" customWidth="1" min="5" max="5"/>
    <col width="25" customWidth="1" min="6" max="6"/>
  </cols>
  <sheetData>
    <row r="1">
      <c r="A1" s="1" t="inlineStr">
        <is>
          <t>DIE CO. NUT FREIGHT - IMPORT DATA ENTRY</t>
        </is>
      </c>
    </row>
    <row r="3">
      <c r="A3" s="2" t="inlineStr">
        <is>
          <t>STEP 1: Enter Customs &amp; Freight Data</t>
        </is>
      </c>
    </row>
    <row r="4">
      <c r="A4" t="inlineStr">
        <is>
          <t>Entry Number:</t>
        </is>
      </c>
      <c r="B4" s="3" t="inlineStr">
        <is>
          <t>AVZ-0154383-3</t>
        </is>
      </c>
    </row>
    <row r="5">
      <c r="A5" t="inlineStr">
        <is>
          <t>Vessel Name:</t>
        </is>
      </c>
      <c r="B5" s="3" t="inlineStr">
        <is>
          <t>EVER EAGLE 192E</t>
        </is>
      </c>
    </row>
    <row r="6">
      <c r="A6" t="inlineStr">
        <is>
          <t>Entry Date:</t>
        </is>
      </c>
      <c r="B6" s="4" t="n">
        <v>46008</v>
      </c>
    </row>
    <row r="8">
      <c r="A8" t="inlineStr">
        <is>
          <t>Total Duty (CBP Box 37):</t>
        </is>
      </c>
      <c r="B8" s="5" t="n">
        <v>10991.5</v>
      </c>
    </row>
    <row r="9">
      <c r="A9" t="inlineStr">
        <is>
          <t>Freight Invoice Total:</t>
        </is>
      </c>
      <c r="B9" s="5" t="n">
        <v>15382.36</v>
      </c>
    </row>
    <row r="10">
      <c r="A10" t="inlineStr">
        <is>
          <t>Shipment Weight (KGS):</t>
        </is>
      </c>
      <c r="B10" s="6" t="n">
        <v>7821</v>
      </c>
      <c r="C10" t="inlineStr">
        <is>
          <t>From BOL or customs doc</t>
        </is>
      </c>
    </row>
    <row r="11">
      <c r="A11" t="inlineStr">
        <is>
          <t>Number of Skids:</t>
        </is>
      </c>
      <c r="B11" s="7" t="n">
        <v>13</v>
      </c>
    </row>
    <row r="13">
      <c r="A13" t="inlineStr">
        <is>
          <t>NET FREIGHT TO ALLOCATE:</t>
        </is>
      </c>
      <c r="B13" s="8">
        <f>B9-B8</f>
        <v/>
      </c>
    </row>
    <row r="15">
      <c r="A15" s="2" t="inlineStr">
        <is>
          <t>STEP 2: Paste Part Details Below</t>
        </is>
      </c>
    </row>
    <row r="16">
      <c r="A16" s="9" t="inlineStr">
        <is>
          <t>Part #</t>
        </is>
      </c>
      <c r="B16" s="9" t="inlineStr">
        <is>
          <t>Net Weight (KG)</t>
        </is>
      </c>
      <c r="C16" s="9" t="inlineStr">
        <is>
          <t>QTY (M)</t>
        </is>
      </c>
      <c r="D16" s="9" t="inlineStr">
        <is>
          <t># of Skids</t>
        </is>
      </c>
      <c r="E16" s="9" t="inlineStr">
        <is>
          <t>Status</t>
        </is>
      </c>
    </row>
    <row r="17">
      <c r="A17" s="3" t="inlineStr">
        <is>
          <t>DCS-621</t>
        </is>
      </c>
      <c r="B17" s="6" t="n">
        <v>7.25</v>
      </c>
      <c r="C17" s="10" t="n">
        <v>243</v>
      </c>
      <c r="D17" s="7" t="n">
        <v>2</v>
      </c>
      <c r="E17">
        <f>IF(AND(A17&lt;&gt;"",B17&lt;&gt;"",C17&lt;&gt;"",D17&lt;&gt;""),"✓","")</f>
        <v/>
      </c>
    </row>
    <row r="18">
      <c r="A18" s="3" t="inlineStr">
        <is>
          <t>DCS-623</t>
        </is>
      </c>
      <c r="B18" s="6" t="n">
        <v>6.9</v>
      </c>
      <c r="C18" s="10" t="n">
        <v>252</v>
      </c>
      <c r="D18" s="7" t="n">
        <v>2</v>
      </c>
      <c r="E18">
        <f>IF(AND(A18&lt;&gt;"",B18&lt;&gt;"",C18&lt;&gt;"",D18&lt;&gt;""),"✓","")</f>
        <v/>
      </c>
    </row>
    <row r="19">
      <c r="A19" s="3" t="inlineStr">
        <is>
          <t>DCS-672</t>
        </is>
      </c>
      <c r="B19" s="6" t="n">
        <v>15.4</v>
      </c>
      <c r="C19" s="10" t="n">
        <v>264.6</v>
      </c>
      <c r="D19" s="7" t="n">
        <v>3</v>
      </c>
      <c r="E19">
        <f>IF(AND(A19&lt;&gt;"",B19&lt;&gt;"",C19&lt;&gt;"",D19&lt;&gt;""),"✓","")</f>
        <v/>
      </c>
    </row>
    <row r="20">
      <c r="A20" s="3" t="inlineStr">
        <is>
          <t>DCS-929</t>
        </is>
      </c>
      <c r="B20" s="6" t="n">
        <v>7.94</v>
      </c>
      <c r="C20" s="10" t="n">
        <v>1020.6</v>
      </c>
      <c r="D20" s="7" t="n">
        <v>6</v>
      </c>
      <c r="E20">
        <f>IF(AND(A20&lt;&gt;"",B20&lt;&gt;"",C20&lt;&gt;"",D20&lt;&gt;""),"✓","")</f>
        <v/>
      </c>
    </row>
    <row r="21">
      <c r="A21" s="3" t="n"/>
      <c r="B21" s="6" t="n"/>
      <c r="C21" s="10" t="n"/>
      <c r="D21" s="7" t="n"/>
      <c r="E21">
        <f>IF(AND(A21&lt;&gt;"",B21&lt;&gt;"",C21&lt;&gt;"",D21&lt;&gt;""),"✓","")</f>
        <v/>
      </c>
    </row>
    <row r="22">
      <c r="A22" s="3" t="n"/>
      <c r="B22" s="6" t="n"/>
      <c r="C22" s="10" t="n"/>
      <c r="D22" s="7" t="n"/>
      <c r="E22">
        <f>IF(AND(A22&lt;&gt;"",B22&lt;&gt;"",C22&lt;&gt;"",D22&lt;&gt;""),"✓","")</f>
        <v/>
      </c>
    </row>
    <row r="23">
      <c r="A23" s="3" t="n"/>
      <c r="B23" s="6" t="n"/>
      <c r="C23" s="10" t="n"/>
      <c r="D23" s="7" t="n"/>
      <c r="E23">
        <f>IF(AND(A23&lt;&gt;"",B23&lt;&gt;"",C23&lt;&gt;"",D23&lt;&gt;""),"✓","")</f>
        <v/>
      </c>
    </row>
    <row r="24">
      <c r="A24" s="3" t="n"/>
      <c r="B24" s="6" t="n"/>
      <c r="C24" s="10" t="n"/>
      <c r="D24" s="7" t="n"/>
      <c r="E24">
        <f>IF(AND(A24&lt;&gt;"",B24&lt;&gt;"",C24&lt;&gt;"",D24&lt;&gt;""),"✓","")</f>
        <v/>
      </c>
    </row>
    <row r="25">
      <c r="A25" s="3" t="n"/>
      <c r="B25" s="6" t="n"/>
      <c r="C25" s="10" t="n"/>
      <c r="D25" s="7" t="n"/>
      <c r="E25">
        <f>IF(AND(A25&lt;&gt;"",B25&lt;&gt;"",C25&lt;&gt;"",D25&lt;&gt;""),"✓","")</f>
        <v/>
      </c>
    </row>
    <row r="26">
      <c r="A26" s="3" t="n"/>
      <c r="B26" s="6" t="n"/>
      <c r="C26" s="10" t="n"/>
      <c r="D26" s="7" t="n"/>
      <c r="E26">
        <f>IF(AND(A26&lt;&gt;"",B26&lt;&gt;"",C26&lt;&gt;"",D26&lt;&gt;""),"✓","")</f>
        <v/>
      </c>
    </row>
    <row r="27">
      <c r="A27" s="3" t="n"/>
      <c r="B27" s="6" t="n"/>
      <c r="C27" s="10" t="n"/>
      <c r="D27" s="7" t="n"/>
      <c r="E27">
        <f>IF(AND(A27&lt;&gt;"",B27&lt;&gt;"",C27&lt;&gt;"",D27&lt;&gt;""),"✓","")</f>
        <v/>
      </c>
    </row>
    <row r="28">
      <c r="A28" s="3" t="n"/>
      <c r="B28" s="6" t="n"/>
      <c r="C28" s="10" t="n"/>
      <c r="D28" s="7" t="n"/>
      <c r="E28">
        <f>IF(AND(A28&lt;&gt;"",B28&lt;&gt;"",C28&lt;&gt;"",D28&lt;&gt;""),"✓","")</f>
        <v/>
      </c>
    </row>
    <row r="29">
      <c r="A29" s="3" t="n"/>
      <c r="B29" s="6" t="n"/>
      <c r="C29" s="10" t="n"/>
      <c r="D29" s="7" t="n"/>
      <c r="E29">
        <f>IF(AND(A29&lt;&gt;"",B29&lt;&gt;"",C29&lt;&gt;"",D29&lt;&gt;""),"✓","")</f>
        <v/>
      </c>
    </row>
    <row r="30">
      <c r="A30" s="3" t="n"/>
      <c r="B30" s="6" t="n"/>
      <c r="C30" s="10" t="n"/>
      <c r="D30" s="7" t="n"/>
      <c r="E30">
        <f>IF(AND(A30&lt;&gt;"",B30&lt;&gt;"",C30&lt;&gt;"",D30&lt;&gt;""),"✓","")</f>
        <v/>
      </c>
    </row>
    <row r="31">
      <c r="A31" s="3" t="n"/>
      <c r="B31" s="6" t="n"/>
      <c r="C31" s="10" t="n"/>
      <c r="D31" s="7" t="n"/>
      <c r="E31">
        <f>IF(AND(A31&lt;&gt;"",B31&lt;&gt;"",C31&lt;&gt;"",D31&lt;&gt;""),"✓","")</f>
        <v/>
      </c>
    </row>
    <row r="32">
      <c r="A32" s="3" t="n"/>
      <c r="B32" s="6" t="n"/>
      <c r="C32" s="10" t="n"/>
      <c r="D32" s="7" t="n"/>
      <c r="E32">
        <f>IF(AND(A32&lt;&gt;"",B32&lt;&gt;"",C32&lt;&gt;"",D32&lt;&gt;""),"✓","")</f>
        <v/>
      </c>
    </row>
    <row r="33">
      <c r="A33" s="3" t="n"/>
      <c r="B33" s="6" t="n"/>
      <c r="C33" s="10" t="n"/>
      <c r="D33" s="7" t="n"/>
      <c r="E33">
        <f>IF(AND(A33&lt;&gt;"",B33&lt;&gt;"",C33&lt;&gt;"",D33&lt;&gt;""),"✓","")</f>
        <v/>
      </c>
    </row>
    <row r="34">
      <c r="A34" s="3" t="n"/>
      <c r="B34" s="6" t="n"/>
      <c r="C34" s="10" t="n"/>
      <c r="D34" s="7" t="n"/>
      <c r="E34">
        <f>IF(AND(A34&lt;&gt;"",B34&lt;&gt;"",C34&lt;&gt;"",D34&lt;&gt;""),"✓","")</f>
        <v/>
      </c>
    </row>
    <row r="35">
      <c r="A35" s="3" t="n"/>
      <c r="B35" s="6" t="n"/>
      <c r="C35" s="10" t="n"/>
      <c r="D35" s="7" t="n"/>
      <c r="E35">
        <f>IF(AND(A35&lt;&gt;"",B35&lt;&gt;"",C35&lt;&gt;"",D35&lt;&gt;""),"✓","")</f>
        <v/>
      </c>
    </row>
    <row r="36">
      <c r="A36" s="3" t="n"/>
      <c r="B36" s="6" t="n"/>
      <c r="C36" s="10" t="n"/>
      <c r="D36" s="7" t="n"/>
      <c r="E36">
        <f>IF(AND(A36&lt;&gt;"",B36&lt;&gt;"",C36&lt;&gt;"",D36&lt;&gt;""),"✓","")</f>
        <v/>
      </c>
    </row>
    <row r="37">
      <c r="A37" s="3" t="n"/>
      <c r="B37" s="6" t="n"/>
      <c r="C37" s="10" t="n"/>
      <c r="D37" s="7" t="n"/>
      <c r="E37">
        <f>IF(AND(A37&lt;&gt;"",B37&lt;&gt;"",C37&lt;&gt;"",D37&lt;&gt;""),"✓","")</f>
        <v/>
      </c>
    </row>
    <row r="38">
      <c r="A38" s="3" t="n"/>
      <c r="B38" s="6" t="n"/>
      <c r="C38" s="10" t="n"/>
      <c r="D38" s="7" t="n"/>
      <c r="E38">
        <f>IF(AND(A38&lt;&gt;"",B38&lt;&gt;"",C38&lt;&gt;"",D38&lt;&gt;""),"✓","")</f>
        <v/>
      </c>
    </row>
    <row r="39">
      <c r="A39" s="3" t="n"/>
      <c r="B39" s="6" t="n"/>
      <c r="C39" s="10" t="n"/>
      <c r="D39" s="7" t="n"/>
      <c r="E39">
        <f>IF(AND(A39&lt;&gt;"",B39&lt;&gt;"",C39&lt;&gt;"",D39&lt;&gt;""),"✓","")</f>
        <v/>
      </c>
    </row>
    <row r="40">
      <c r="A40" s="3" t="n"/>
      <c r="B40" s="6" t="n"/>
      <c r="C40" s="10" t="n"/>
      <c r="D40" s="7" t="n"/>
      <c r="E40">
        <f>IF(AND(A40&lt;&gt;"",B40&lt;&gt;"",C40&lt;&gt;"",D40&lt;&gt;""),"✓","")</f>
        <v/>
      </c>
    </row>
    <row r="41">
      <c r="A41" s="3" t="n"/>
      <c r="B41" s="6" t="n"/>
      <c r="C41" s="10" t="n"/>
      <c r="D41" s="7" t="n"/>
      <c r="E41">
        <f>IF(AND(A41&lt;&gt;"",B41&lt;&gt;"",C41&lt;&gt;"",D41&lt;&gt;""),"✓","")</f>
        <v/>
      </c>
    </row>
    <row r="42">
      <c r="A42" s="3" t="n"/>
      <c r="B42" s="6" t="n"/>
      <c r="C42" s="10" t="n"/>
      <c r="D42" s="7" t="n"/>
      <c r="E42">
        <f>IF(AND(A42&lt;&gt;"",B42&lt;&gt;"",C42&lt;&gt;"",D42&lt;&gt;""),"✓","")</f>
        <v/>
      </c>
    </row>
    <row r="43">
      <c r="A43" s="3" t="n"/>
      <c r="B43" s="6" t="n"/>
      <c r="C43" s="10" t="n"/>
      <c r="D43" s="7" t="n"/>
      <c r="E43">
        <f>IF(AND(A43&lt;&gt;"",B43&lt;&gt;"",C43&lt;&gt;"",D43&lt;&gt;""),"✓","")</f>
        <v/>
      </c>
    </row>
    <row r="44">
      <c r="A44" s="3" t="n"/>
      <c r="B44" s="6" t="n"/>
      <c r="C44" s="10" t="n"/>
      <c r="D44" s="7" t="n"/>
      <c r="E44">
        <f>IF(AND(A44&lt;&gt;"",B44&lt;&gt;"",C44&lt;&gt;"",D44&lt;&gt;""),"✓","")</f>
        <v/>
      </c>
    </row>
    <row r="45">
      <c r="A45" s="3" t="n"/>
      <c r="B45" s="6" t="n"/>
      <c r="C45" s="10" t="n"/>
      <c r="D45" s="7" t="n"/>
      <c r="E45">
        <f>IF(AND(A45&lt;&gt;"",B45&lt;&gt;"",C45&lt;&gt;"",D45&lt;&gt;""),"✓","")</f>
        <v/>
      </c>
    </row>
    <row r="46">
      <c r="A46" s="3" t="n"/>
      <c r="B46" s="6" t="n"/>
      <c r="C46" s="10" t="n"/>
      <c r="D46" s="7" t="n"/>
      <c r="E46">
        <f>IF(AND(A46&lt;&gt;"",B46&lt;&gt;"",C46&lt;&gt;"",D46&lt;&gt;""),"✓","")</f>
        <v/>
      </c>
    </row>
    <row r="47">
      <c r="A47" s="3" t="n"/>
      <c r="B47" s="6" t="n"/>
      <c r="C47" s="10" t="n"/>
      <c r="D47" s="7" t="n"/>
      <c r="E47">
        <f>IF(AND(A47&lt;&gt;"",B47&lt;&gt;"",C47&lt;&gt;"",D47&lt;&gt;""),"✓","")</f>
        <v/>
      </c>
    </row>
    <row r="48">
      <c r="A48" s="3" t="n"/>
      <c r="B48" s="6" t="n"/>
      <c r="C48" s="10" t="n"/>
      <c r="D48" s="7" t="n"/>
      <c r="E48">
        <f>IF(AND(A48&lt;&gt;"",B48&lt;&gt;"",C48&lt;&gt;"",D48&lt;&gt;""),"✓","")</f>
        <v/>
      </c>
    </row>
    <row r="49">
      <c r="A49" s="3" t="n"/>
      <c r="B49" s="6" t="n"/>
      <c r="C49" s="10" t="n"/>
      <c r="D49" s="7" t="n"/>
      <c r="E49">
        <f>IF(AND(A49&lt;&gt;"",B49&lt;&gt;"",C49&lt;&gt;"",D49&lt;&gt;""),"✓","")</f>
        <v/>
      </c>
    </row>
    <row r="50">
      <c r="A50" s="3" t="n"/>
      <c r="B50" s="6" t="n"/>
      <c r="C50" s="10" t="n"/>
      <c r="D50" s="7" t="n"/>
      <c r="E50">
        <f>IF(AND(A50&lt;&gt;"",B50&lt;&gt;"",C50&lt;&gt;"",D50&lt;&gt;""),"✓","")</f>
        <v/>
      </c>
    </row>
    <row r="52">
      <c r="A52" s="2" t="inlineStr">
        <is>
          <t>Ready to Calculate:</t>
        </is>
      </c>
      <c r="B52" s="2">
        <f>IF(COUNTIF(E17:E50,"✓")&gt;0,"YES - Go to Shipment Calculation tab","NO - Complete part details")</f>
        <v/>
      </c>
    </row>
    <row r="54">
      <c r="A54" s="11" t="inlineStr">
        <is>
          <t>NEW PROCESS:
1. Enter customs entry number, vessel, date
2. Enter total duty from CBP Box 37
3. Enter freight invoice total (ALL charges)
4. Enter shipment weight (KGS) and skid count
5. Paste or type part details (Part #, Net Weight, QTY, Skids)
6. Go to Shipment Calculation tab - review auto-calculated costs
7. Go to ERP Upload tab - copy table and paste into ERP system
8. Record in Historical Log for future reference</t>
        </is>
      </c>
    </row>
    <row r="55"/>
    <row r="56"/>
    <row r="57"/>
    <row r="58"/>
    <row r="59"/>
    <row r="60"/>
    <row r="61"/>
    <row r="62"/>
  </sheetData>
  <mergeCells count="2">
    <mergeCell ref="A54:F62"/>
    <mergeCell ref="A1:F1"/>
  </mergeCells>
  <conditionalFormatting sqref="E17:E50">
    <cfRule type="cellIs" priority="1" operator="equal" dxfId="0">
      <formula>"✓"</formula>
    </cfRule>
  </conditionalFormatting>
  <conditionalFormatting sqref="B52">
    <cfRule type="cellIs" priority="2" operator="containsText" dxfId="0">
      <formula>"YES"</formula>
    </cfRule>
    <cfRule type="cellIs" priority="3" operator="containsText" dxfId="1">
      <formula>"NO"</formula>
    </cfRule>
  </conditionalFormatting>
  <printOptions horizontalCentered="1"/>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I52"/>
  <sheetViews>
    <sheetView workbookViewId="0">
      <pane ySplit="4" topLeftCell="A5" activePane="bottomLeft" state="frozen"/>
      <selection pane="bottomLeft" activeCell="A1" sqref="A1"/>
    </sheetView>
  </sheetViews>
  <sheetFormatPr baseColWidth="8" defaultRowHeight="15"/>
  <cols>
    <col width="15" customWidth="1" min="1" max="1"/>
    <col width="16" customWidth="1" min="2" max="2"/>
    <col width="12" customWidth="1" min="3" max="3"/>
    <col width="18" customWidth="1" min="4" max="4"/>
    <col width="12" customWidth="1" min="5" max="5"/>
    <col width="12" customWidth="1" min="6" max="6"/>
    <col width="16" customWidth="1" min="7" max="7"/>
    <col width="14" customWidth="1" min="8" max="8"/>
    <col width="14" customWidth="1" min="9" max="9"/>
  </cols>
  <sheetData>
    <row r="1">
      <c r="A1" s="12" t="inlineStr">
        <is>
          <t>AUTO-POPULATED FROM IMPORT DATA ENTRY - DO NOT EDIT</t>
        </is>
      </c>
    </row>
    <row r="3">
      <c r="A3" s="9" t="inlineStr">
        <is>
          <t>Part #</t>
        </is>
      </c>
      <c r="B3" s="9" t="inlineStr">
        <is>
          <t>Net Weight(KG)</t>
        </is>
      </c>
      <c r="C3" s="9" t="inlineStr">
        <is>
          <t>QTY(M)</t>
        </is>
      </c>
      <c r="D3" s="9" t="inlineStr">
        <is>
          <t>Total Weight(KGS)</t>
        </is>
      </c>
      <c r="E3" s="9" t="inlineStr">
        <is>
          <t># of Skids</t>
        </is>
      </c>
      <c r="F3" s="9" t="inlineStr">
        <is>
          <t>Weight %</t>
        </is>
      </c>
      <c r="G3" s="9" t="inlineStr">
        <is>
          <t>Cost Allocated</t>
        </is>
      </c>
      <c r="H3" s="9" t="inlineStr">
        <is>
          <t>Cost/KGS</t>
        </is>
      </c>
      <c r="I3" s="9" t="inlineStr">
        <is>
          <t>Cost/M</t>
        </is>
      </c>
    </row>
    <row r="4"/>
    <row r="5">
      <c r="A5">
        <f>IFERROR(INDEX('Import Data Entry'!$A$17:$A$50,1),"")</f>
        <v/>
      </c>
      <c r="B5" s="13">
        <f>IFERROR(INDEX('Import Data Entry'!$B$17:$B$50,1),"")</f>
        <v/>
      </c>
      <c r="C5" s="14">
        <f>IFERROR(INDEX('Import Data Entry'!$C$17:$C$50,1),"")</f>
        <v/>
      </c>
      <c r="D5" s="13">
        <f>IF(B5="","",B5*C5)</f>
        <v/>
      </c>
      <c r="E5" s="15">
        <f>IFERROR(INDEX('Import Data Entry'!$D$17:$D$50,1),"")</f>
        <v/>
      </c>
      <c r="F5" s="16">
        <f>IF(D5="","",D5/$D$41)</f>
        <v/>
      </c>
      <c r="G5" s="17">
        <f>IF(F5="","",F5*$B$44)</f>
        <v/>
      </c>
      <c r="H5" s="17">
        <f>IF(D5="","",G5/D5)</f>
        <v/>
      </c>
      <c r="I5" s="17">
        <f>IF(C5="","",G5/C5)</f>
        <v/>
      </c>
    </row>
    <row r="6">
      <c r="A6">
        <f>IFERROR(INDEX('Import Data Entry'!$A$17:$A$50,2),"")</f>
        <v/>
      </c>
      <c r="B6" s="13">
        <f>IFERROR(INDEX('Import Data Entry'!$B$17:$B$50,2),"")</f>
        <v/>
      </c>
      <c r="C6" s="14">
        <f>IFERROR(INDEX('Import Data Entry'!$C$17:$C$50,2),"")</f>
        <v/>
      </c>
      <c r="D6" s="13">
        <f>IF(B6="","",B6*C6)</f>
        <v/>
      </c>
      <c r="E6" s="15">
        <f>IFERROR(INDEX('Import Data Entry'!$D$17:$D$50,2),"")</f>
        <v/>
      </c>
      <c r="F6" s="16">
        <f>IF(D6="","",D6/$D$41)</f>
        <v/>
      </c>
      <c r="G6" s="17">
        <f>IF(F6="","",F6*$B$44)</f>
        <v/>
      </c>
      <c r="H6" s="17">
        <f>IF(D6="","",G6/D6)</f>
        <v/>
      </c>
      <c r="I6" s="17">
        <f>IF(C6="","",G6/C6)</f>
        <v/>
      </c>
    </row>
    <row r="7">
      <c r="A7">
        <f>IFERROR(INDEX('Import Data Entry'!$A$17:$A$50,3),"")</f>
        <v/>
      </c>
      <c r="B7" s="13">
        <f>IFERROR(INDEX('Import Data Entry'!$B$17:$B$50,3),"")</f>
        <v/>
      </c>
      <c r="C7" s="14">
        <f>IFERROR(INDEX('Import Data Entry'!$C$17:$C$50,3),"")</f>
        <v/>
      </c>
      <c r="D7" s="13">
        <f>IF(B7="","",B7*C7)</f>
        <v/>
      </c>
      <c r="E7" s="15">
        <f>IFERROR(INDEX('Import Data Entry'!$D$17:$D$50,3),"")</f>
        <v/>
      </c>
      <c r="F7" s="16">
        <f>IF(D7="","",D7/$D$41)</f>
        <v/>
      </c>
      <c r="G7" s="17">
        <f>IF(F7="","",F7*$B$44)</f>
        <v/>
      </c>
      <c r="H7" s="17">
        <f>IF(D7="","",G7/D7)</f>
        <v/>
      </c>
      <c r="I7" s="17">
        <f>IF(C7="","",G7/C7)</f>
        <v/>
      </c>
    </row>
    <row r="8">
      <c r="A8">
        <f>IFERROR(INDEX('Import Data Entry'!$A$17:$A$50,4),"")</f>
        <v/>
      </c>
      <c r="B8" s="13">
        <f>IFERROR(INDEX('Import Data Entry'!$B$17:$B$50,4),"")</f>
        <v/>
      </c>
      <c r="C8" s="14">
        <f>IFERROR(INDEX('Import Data Entry'!$C$17:$C$50,4),"")</f>
        <v/>
      </c>
      <c r="D8" s="13">
        <f>IF(B8="","",B8*C8)</f>
        <v/>
      </c>
      <c r="E8" s="15">
        <f>IFERROR(INDEX('Import Data Entry'!$D$17:$D$50,4),"")</f>
        <v/>
      </c>
      <c r="F8" s="16">
        <f>IF(D8="","",D8/$D$41)</f>
        <v/>
      </c>
      <c r="G8" s="17">
        <f>IF(F8="","",F8*$B$44)</f>
        <v/>
      </c>
      <c r="H8" s="17">
        <f>IF(D8="","",G8/D8)</f>
        <v/>
      </c>
      <c r="I8" s="17">
        <f>IF(C8="","",G8/C8)</f>
        <v/>
      </c>
    </row>
    <row r="9">
      <c r="A9">
        <f>IFERROR(INDEX('Import Data Entry'!$A$17:$A$50,5),"")</f>
        <v/>
      </c>
      <c r="B9" s="13">
        <f>IFERROR(INDEX('Import Data Entry'!$B$17:$B$50,5),"")</f>
        <v/>
      </c>
      <c r="C9" s="14">
        <f>IFERROR(INDEX('Import Data Entry'!$C$17:$C$50,5),"")</f>
        <v/>
      </c>
      <c r="D9" s="13">
        <f>IF(B9="","",B9*C9)</f>
        <v/>
      </c>
      <c r="E9" s="15">
        <f>IFERROR(INDEX('Import Data Entry'!$D$17:$D$50,5),"")</f>
        <v/>
      </c>
      <c r="F9" s="16">
        <f>IF(D9="","",D9/$D$41)</f>
        <v/>
      </c>
      <c r="G9" s="17">
        <f>IF(F9="","",F9*$B$44)</f>
        <v/>
      </c>
      <c r="H9" s="17">
        <f>IF(D9="","",G9/D9)</f>
        <v/>
      </c>
      <c r="I9" s="17">
        <f>IF(C9="","",G9/C9)</f>
        <v/>
      </c>
    </row>
    <row r="10">
      <c r="A10">
        <f>IFERROR(INDEX('Import Data Entry'!$A$17:$A$50,6),"")</f>
        <v/>
      </c>
      <c r="B10" s="13">
        <f>IFERROR(INDEX('Import Data Entry'!$B$17:$B$50,6),"")</f>
        <v/>
      </c>
      <c r="C10" s="14">
        <f>IFERROR(INDEX('Import Data Entry'!$C$17:$C$50,6),"")</f>
        <v/>
      </c>
      <c r="D10" s="13">
        <f>IF(B10="","",B10*C10)</f>
        <v/>
      </c>
      <c r="E10" s="15">
        <f>IFERROR(INDEX('Import Data Entry'!$D$17:$D$50,6),"")</f>
        <v/>
      </c>
      <c r="F10" s="16">
        <f>IF(D10="","",D10/$D$41)</f>
        <v/>
      </c>
      <c r="G10" s="17">
        <f>IF(F10="","",F10*$B$44)</f>
        <v/>
      </c>
      <c r="H10" s="17">
        <f>IF(D10="","",G10/D10)</f>
        <v/>
      </c>
      <c r="I10" s="17">
        <f>IF(C10="","",G10/C10)</f>
        <v/>
      </c>
    </row>
    <row r="11">
      <c r="A11">
        <f>IFERROR(INDEX('Import Data Entry'!$A$17:$A$50,7),"")</f>
        <v/>
      </c>
      <c r="B11" s="13">
        <f>IFERROR(INDEX('Import Data Entry'!$B$17:$B$50,7),"")</f>
        <v/>
      </c>
      <c r="C11" s="14">
        <f>IFERROR(INDEX('Import Data Entry'!$C$17:$C$50,7),"")</f>
        <v/>
      </c>
      <c r="D11" s="13">
        <f>IF(B11="","",B11*C11)</f>
        <v/>
      </c>
      <c r="E11" s="15">
        <f>IFERROR(INDEX('Import Data Entry'!$D$17:$D$50,7),"")</f>
        <v/>
      </c>
      <c r="F11" s="16">
        <f>IF(D11="","",D11/$D$41)</f>
        <v/>
      </c>
      <c r="G11" s="17">
        <f>IF(F11="","",F11*$B$44)</f>
        <v/>
      </c>
      <c r="H11" s="17">
        <f>IF(D11="","",G11/D11)</f>
        <v/>
      </c>
      <c r="I11" s="17">
        <f>IF(C11="","",G11/C11)</f>
        <v/>
      </c>
    </row>
    <row r="12">
      <c r="A12">
        <f>IFERROR(INDEX('Import Data Entry'!$A$17:$A$50,8),"")</f>
        <v/>
      </c>
      <c r="B12" s="13">
        <f>IFERROR(INDEX('Import Data Entry'!$B$17:$B$50,8),"")</f>
        <v/>
      </c>
      <c r="C12" s="14">
        <f>IFERROR(INDEX('Import Data Entry'!$C$17:$C$50,8),"")</f>
        <v/>
      </c>
      <c r="D12" s="13">
        <f>IF(B12="","",B12*C12)</f>
        <v/>
      </c>
      <c r="E12" s="15">
        <f>IFERROR(INDEX('Import Data Entry'!$D$17:$D$50,8),"")</f>
        <v/>
      </c>
      <c r="F12" s="16">
        <f>IF(D12="","",D12/$D$41)</f>
        <v/>
      </c>
      <c r="G12" s="17">
        <f>IF(F12="","",F12*$B$44)</f>
        <v/>
      </c>
      <c r="H12" s="17">
        <f>IF(D12="","",G12/D12)</f>
        <v/>
      </c>
      <c r="I12" s="17">
        <f>IF(C12="","",G12/C12)</f>
        <v/>
      </c>
    </row>
    <row r="13">
      <c r="A13">
        <f>IFERROR(INDEX('Import Data Entry'!$A$17:$A$50,9),"")</f>
        <v/>
      </c>
      <c r="B13" s="13">
        <f>IFERROR(INDEX('Import Data Entry'!$B$17:$B$50,9),"")</f>
        <v/>
      </c>
      <c r="C13" s="14">
        <f>IFERROR(INDEX('Import Data Entry'!$C$17:$C$50,9),"")</f>
        <v/>
      </c>
      <c r="D13" s="13">
        <f>IF(B13="","",B13*C13)</f>
        <v/>
      </c>
      <c r="E13" s="15">
        <f>IFERROR(INDEX('Import Data Entry'!$D$17:$D$50,9),"")</f>
        <v/>
      </c>
      <c r="F13" s="16">
        <f>IF(D13="","",D13/$D$41)</f>
        <v/>
      </c>
      <c r="G13" s="17">
        <f>IF(F13="","",F13*$B$44)</f>
        <v/>
      </c>
      <c r="H13" s="17">
        <f>IF(D13="","",G13/D13)</f>
        <v/>
      </c>
      <c r="I13" s="17">
        <f>IF(C13="","",G13/C13)</f>
        <v/>
      </c>
    </row>
    <row r="14">
      <c r="A14">
        <f>IFERROR(INDEX('Import Data Entry'!$A$17:$A$50,10),"")</f>
        <v/>
      </c>
      <c r="B14" s="13">
        <f>IFERROR(INDEX('Import Data Entry'!$B$17:$B$50,10),"")</f>
        <v/>
      </c>
      <c r="C14" s="14">
        <f>IFERROR(INDEX('Import Data Entry'!$C$17:$C$50,10),"")</f>
        <v/>
      </c>
      <c r="D14" s="13">
        <f>IF(B14="","",B14*C14)</f>
        <v/>
      </c>
      <c r="E14" s="15">
        <f>IFERROR(INDEX('Import Data Entry'!$D$17:$D$50,10),"")</f>
        <v/>
      </c>
      <c r="F14" s="16">
        <f>IF(D14="","",D14/$D$41)</f>
        <v/>
      </c>
      <c r="G14" s="17">
        <f>IF(F14="","",F14*$B$44)</f>
        <v/>
      </c>
      <c r="H14" s="17">
        <f>IF(D14="","",G14/D14)</f>
        <v/>
      </c>
      <c r="I14" s="17">
        <f>IF(C14="","",G14/C14)</f>
        <v/>
      </c>
    </row>
    <row r="15">
      <c r="A15">
        <f>IFERROR(INDEX('Import Data Entry'!$A$17:$A$50,11),"")</f>
        <v/>
      </c>
      <c r="B15" s="13">
        <f>IFERROR(INDEX('Import Data Entry'!$B$17:$B$50,11),"")</f>
        <v/>
      </c>
      <c r="C15" s="14">
        <f>IFERROR(INDEX('Import Data Entry'!$C$17:$C$50,11),"")</f>
        <v/>
      </c>
      <c r="D15" s="13">
        <f>IF(B15="","",B15*C15)</f>
        <v/>
      </c>
      <c r="E15" s="15">
        <f>IFERROR(INDEX('Import Data Entry'!$D$17:$D$50,11),"")</f>
        <v/>
      </c>
      <c r="F15" s="16">
        <f>IF(D15="","",D15/$D$41)</f>
        <v/>
      </c>
      <c r="G15" s="17">
        <f>IF(F15="","",F15*$B$44)</f>
        <v/>
      </c>
      <c r="H15" s="17">
        <f>IF(D15="","",G15/D15)</f>
        <v/>
      </c>
      <c r="I15" s="17">
        <f>IF(C15="","",G15/C15)</f>
        <v/>
      </c>
    </row>
    <row r="16">
      <c r="A16">
        <f>IFERROR(INDEX('Import Data Entry'!$A$17:$A$50,12),"")</f>
        <v/>
      </c>
      <c r="B16" s="13">
        <f>IFERROR(INDEX('Import Data Entry'!$B$17:$B$50,12),"")</f>
        <v/>
      </c>
      <c r="C16" s="14">
        <f>IFERROR(INDEX('Import Data Entry'!$C$17:$C$50,12),"")</f>
        <v/>
      </c>
      <c r="D16" s="13">
        <f>IF(B16="","",B16*C16)</f>
        <v/>
      </c>
      <c r="E16" s="15">
        <f>IFERROR(INDEX('Import Data Entry'!$D$17:$D$50,12),"")</f>
        <v/>
      </c>
      <c r="F16" s="16">
        <f>IF(D16="","",D16/$D$41)</f>
        <v/>
      </c>
      <c r="G16" s="17">
        <f>IF(F16="","",F16*$B$44)</f>
        <v/>
      </c>
      <c r="H16" s="17">
        <f>IF(D16="","",G16/D16)</f>
        <v/>
      </c>
      <c r="I16" s="17">
        <f>IF(C16="","",G16/C16)</f>
        <v/>
      </c>
    </row>
    <row r="17">
      <c r="A17">
        <f>IFERROR(INDEX('Import Data Entry'!$A$17:$A$50,13),"")</f>
        <v/>
      </c>
      <c r="B17" s="13">
        <f>IFERROR(INDEX('Import Data Entry'!$B$17:$B$50,13),"")</f>
        <v/>
      </c>
      <c r="C17" s="14">
        <f>IFERROR(INDEX('Import Data Entry'!$C$17:$C$50,13),"")</f>
        <v/>
      </c>
      <c r="D17" s="13">
        <f>IF(B17="","",B17*C17)</f>
        <v/>
      </c>
      <c r="E17" s="15">
        <f>IFERROR(INDEX('Import Data Entry'!$D$17:$D$50,13),"")</f>
        <v/>
      </c>
      <c r="F17" s="16">
        <f>IF(D17="","",D17/$D$41)</f>
        <v/>
      </c>
      <c r="G17" s="17">
        <f>IF(F17="","",F17*$B$44)</f>
        <v/>
      </c>
      <c r="H17" s="17">
        <f>IF(D17="","",G17/D17)</f>
        <v/>
      </c>
      <c r="I17" s="17">
        <f>IF(C17="","",G17/C17)</f>
        <v/>
      </c>
    </row>
    <row r="18">
      <c r="A18">
        <f>IFERROR(INDEX('Import Data Entry'!$A$17:$A$50,14),"")</f>
        <v/>
      </c>
      <c r="B18" s="13">
        <f>IFERROR(INDEX('Import Data Entry'!$B$17:$B$50,14),"")</f>
        <v/>
      </c>
      <c r="C18" s="14">
        <f>IFERROR(INDEX('Import Data Entry'!$C$17:$C$50,14),"")</f>
        <v/>
      </c>
      <c r="D18" s="13">
        <f>IF(B18="","",B18*C18)</f>
        <v/>
      </c>
      <c r="E18" s="15">
        <f>IFERROR(INDEX('Import Data Entry'!$D$17:$D$50,14),"")</f>
        <v/>
      </c>
      <c r="F18" s="16">
        <f>IF(D18="","",D18/$D$41)</f>
        <v/>
      </c>
      <c r="G18" s="17">
        <f>IF(F18="","",F18*$B$44)</f>
        <v/>
      </c>
      <c r="H18" s="17">
        <f>IF(D18="","",G18/D18)</f>
        <v/>
      </c>
      <c r="I18" s="17">
        <f>IF(C18="","",G18/C18)</f>
        <v/>
      </c>
    </row>
    <row r="19">
      <c r="A19">
        <f>IFERROR(INDEX('Import Data Entry'!$A$17:$A$50,15),"")</f>
        <v/>
      </c>
      <c r="B19" s="13">
        <f>IFERROR(INDEX('Import Data Entry'!$B$17:$B$50,15),"")</f>
        <v/>
      </c>
      <c r="C19" s="14">
        <f>IFERROR(INDEX('Import Data Entry'!$C$17:$C$50,15),"")</f>
        <v/>
      </c>
      <c r="D19" s="13">
        <f>IF(B19="","",B19*C19)</f>
        <v/>
      </c>
      <c r="E19" s="15">
        <f>IFERROR(INDEX('Import Data Entry'!$D$17:$D$50,15),"")</f>
        <v/>
      </c>
      <c r="F19" s="16">
        <f>IF(D19="","",D19/$D$41)</f>
        <v/>
      </c>
      <c r="G19" s="17">
        <f>IF(F19="","",F19*$B$44)</f>
        <v/>
      </c>
      <c r="H19" s="17">
        <f>IF(D19="","",G19/D19)</f>
        <v/>
      </c>
      <c r="I19" s="17">
        <f>IF(C19="","",G19/C19)</f>
        <v/>
      </c>
    </row>
    <row r="20">
      <c r="A20">
        <f>IFERROR(INDEX('Import Data Entry'!$A$17:$A$50,16),"")</f>
        <v/>
      </c>
      <c r="B20" s="13">
        <f>IFERROR(INDEX('Import Data Entry'!$B$17:$B$50,16),"")</f>
        <v/>
      </c>
      <c r="C20" s="14">
        <f>IFERROR(INDEX('Import Data Entry'!$C$17:$C$50,16),"")</f>
        <v/>
      </c>
      <c r="D20" s="13">
        <f>IF(B20="","",B20*C20)</f>
        <v/>
      </c>
      <c r="E20" s="15">
        <f>IFERROR(INDEX('Import Data Entry'!$D$17:$D$50,16),"")</f>
        <v/>
      </c>
      <c r="F20" s="16">
        <f>IF(D20="","",D20/$D$41)</f>
        <v/>
      </c>
      <c r="G20" s="17">
        <f>IF(F20="","",F20*$B$44)</f>
        <v/>
      </c>
      <c r="H20" s="17">
        <f>IF(D20="","",G20/D20)</f>
        <v/>
      </c>
      <c r="I20" s="17">
        <f>IF(C20="","",G20/C20)</f>
        <v/>
      </c>
    </row>
    <row r="21">
      <c r="A21">
        <f>IFERROR(INDEX('Import Data Entry'!$A$17:$A$50,17),"")</f>
        <v/>
      </c>
      <c r="B21" s="13">
        <f>IFERROR(INDEX('Import Data Entry'!$B$17:$B$50,17),"")</f>
        <v/>
      </c>
      <c r="C21" s="14">
        <f>IFERROR(INDEX('Import Data Entry'!$C$17:$C$50,17),"")</f>
        <v/>
      </c>
      <c r="D21" s="13">
        <f>IF(B21="","",B21*C21)</f>
        <v/>
      </c>
      <c r="E21" s="15">
        <f>IFERROR(INDEX('Import Data Entry'!$D$17:$D$50,17),"")</f>
        <v/>
      </c>
      <c r="F21" s="16">
        <f>IF(D21="","",D21/$D$41)</f>
        <v/>
      </c>
      <c r="G21" s="17">
        <f>IF(F21="","",F21*$B$44)</f>
        <v/>
      </c>
      <c r="H21" s="17">
        <f>IF(D21="","",G21/D21)</f>
        <v/>
      </c>
      <c r="I21" s="17">
        <f>IF(C21="","",G21/C21)</f>
        <v/>
      </c>
    </row>
    <row r="22">
      <c r="A22">
        <f>IFERROR(INDEX('Import Data Entry'!$A$17:$A$50,18),"")</f>
        <v/>
      </c>
      <c r="B22" s="13">
        <f>IFERROR(INDEX('Import Data Entry'!$B$17:$B$50,18),"")</f>
        <v/>
      </c>
      <c r="C22" s="14">
        <f>IFERROR(INDEX('Import Data Entry'!$C$17:$C$50,18),"")</f>
        <v/>
      </c>
      <c r="D22" s="13">
        <f>IF(B22="","",B22*C22)</f>
        <v/>
      </c>
      <c r="E22" s="15">
        <f>IFERROR(INDEX('Import Data Entry'!$D$17:$D$50,18),"")</f>
        <v/>
      </c>
      <c r="F22" s="16">
        <f>IF(D22="","",D22/$D$41)</f>
        <v/>
      </c>
      <c r="G22" s="17">
        <f>IF(F22="","",F22*$B$44)</f>
        <v/>
      </c>
      <c r="H22" s="17">
        <f>IF(D22="","",G22/D22)</f>
        <v/>
      </c>
      <c r="I22" s="17">
        <f>IF(C22="","",G22/C22)</f>
        <v/>
      </c>
    </row>
    <row r="23">
      <c r="A23">
        <f>IFERROR(INDEX('Import Data Entry'!$A$17:$A$50,19),"")</f>
        <v/>
      </c>
      <c r="B23" s="13">
        <f>IFERROR(INDEX('Import Data Entry'!$B$17:$B$50,19),"")</f>
        <v/>
      </c>
      <c r="C23" s="14">
        <f>IFERROR(INDEX('Import Data Entry'!$C$17:$C$50,19),"")</f>
        <v/>
      </c>
      <c r="D23" s="13">
        <f>IF(B23="","",B23*C23)</f>
        <v/>
      </c>
      <c r="E23" s="15">
        <f>IFERROR(INDEX('Import Data Entry'!$D$17:$D$50,19),"")</f>
        <v/>
      </c>
      <c r="F23" s="16">
        <f>IF(D23="","",D23/$D$41)</f>
        <v/>
      </c>
      <c r="G23" s="17">
        <f>IF(F23="","",F23*$B$44)</f>
        <v/>
      </c>
      <c r="H23" s="17">
        <f>IF(D23="","",G23/D23)</f>
        <v/>
      </c>
      <c r="I23" s="17">
        <f>IF(C23="","",G23/C23)</f>
        <v/>
      </c>
    </row>
    <row r="24">
      <c r="A24">
        <f>IFERROR(INDEX('Import Data Entry'!$A$17:$A$50,20),"")</f>
        <v/>
      </c>
      <c r="B24" s="13">
        <f>IFERROR(INDEX('Import Data Entry'!$B$17:$B$50,20),"")</f>
        <v/>
      </c>
      <c r="C24" s="14">
        <f>IFERROR(INDEX('Import Data Entry'!$C$17:$C$50,20),"")</f>
        <v/>
      </c>
      <c r="D24" s="13">
        <f>IF(B24="","",B24*C24)</f>
        <v/>
      </c>
      <c r="E24" s="15">
        <f>IFERROR(INDEX('Import Data Entry'!$D$17:$D$50,20),"")</f>
        <v/>
      </c>
      <c r="F24" s="16">
        <f>IF(D24="","",D24/$D$41)</f>
        <v/>
      </c>
      <c r="G24" s="17">
        <f>IF(F24="","",F24*$B$44)</f>
        <v/>
      </c>
      <c r="H24" s="17">
        <f>IF(D24="","",G24/D24)</f>
        <v/>
      </c>
      <c r="I24" s="17">
        <f>IF(C24="","",G24/C24)</f>
        <v/>
      </c>
    </row>
    <row r="25">
      <c r="A25">
        <f>IFERROR(INDEX('Import Data Entry'!$A$17:$A$50,21),"")</f>
        <v/>
      </c>
      <c r="B25" s="13">
        <f>IFERROR(INDEX('Import Data Entry'!$B$17:$B$50,21),"")</f>
        <v/>
      </c>
      <c r="C25" s="14">
        <f>IFERROR(INDEX('Import Data Entry'!$C$17:$C$50,21),"")</f>
        <v/>
      </c>
      <c r="D25" s="13">
        <f>IF(B25="","",B25*C25)</f>
        <v/>
      </c>
      <c r="E25" s="15">
        <f>IFERROR(INDEX('Import Data Entry'!$D$17:$D$50,21),"")</f>
        <v/>
      </c>
      <c r="F25" s="16">
        <f>IF(D25="","",D25/$D$41)</f>
        <v/>
      </c>
      <c r="G25" s="17">
        <f>IF(F25="","",F25*$B$44)</f>
        <v/>
      </c>
      <c r="H25" s="17">
        <f>IF(D25="","",G25/D25)</f>
        <v/>
      </c>
      <c r="I25" s="17">
        <f>IF(C25="","",G25/C25)</f>
        <v/>
      </c>
    </row>
    <row r="26">
      <c r="A26">
        <f>IFERROR(INDEX('Import Data Entry'!$A$17:$A$50,22),"")</f>
        <v/>
      </c>
      <c r="B26" s="13">
        <f>IFERROR(INDEX('Import Data Entry'!$B$17:$B$50,22),"")</f>
        <v/>
      </c>
      <c r="C26" s="14">
        <f>IFERROR(INDEX('Import Data Entry'!$C$17:$C$50,22),"")</f>
        <v/>
      </c>
      <c r="D26" s="13">
        <f>IF(B26="","",B26*C26)</f>
        <v/>
      </c>
      <c r="E26" s="15">
        <f>IFERROR(INDEX('Import Data Entry'!$D$17:$D$50,22),"")</f>
        <v/>
      </c>
      <c r="F26" s="16">
        <f>IF(D26="","",D26/$D$41)</f>
        <v/>
      </c>
      <c r="G26" s="17">
        <f>IF(F26="","",F26*$B$44)</f>
        <v/>
      </c>
      <c r="H26" s="17">
        <f>IF(D26="","",G26/D26)</f>
        <v/>
      </c>
      <c r="I26" s="17">
        <f>IF(C26="","",G26/C26)</f>
        <v/>
      </c>
    </row>
    <row r="27">
      <c r="A27">
        <f>IFERROR(INDEX('Import Data Entry'!$A$17:$A$50,23),"")</f>
        <v/>
      </c>
      <c r="B27" s="13">
        <f>IFERROR(INDEX('Import Data Entry'!$B$17:$B$50,23),"")</f>
        <v/>
      </c>
      <c r="C27" s="14">
        <f>IFERROR(INDEX('Import Data Entry'!$C$17:$C$50,23),"")</f>
        <v/>
      </c>
      <c r="D27" s="13">
        <f>IF(B27="","",B27*C27)</f>
        <v/>
      </c>
      <c r="E27" s="15">
        <f>IFERROR(INDEX('Import Data Entry'!$D$17:$D$50,23),"")</f>
        <v/>
      </c>
      <c r="F27" s="16">
        <f>IF(D27="","",D27/$D$41)</f>
        <v/>
      </c>
      <c r="G27" s="17">
        <f>IF(F27="","",F27*$B$44)</f>
        <v/>
      </c>
      <c r="H27" s="17">
        <f>IF(D27="","",G27/D27)</f>
        <v/>
      </c>
      <c r="I27" s="17">
        <f>IF(C27="","",G27/C27)</f>
        <v/>
      </c>
    </row>
    <row r="28">
      <c r="A28">
        <f>IFERROR(INDEX('Import Data Entry'!$A$17:$A$50,24),"")</f>
        <v/>
      </c>
      <c r="B28" s="13">
        <f>IFERROR(INDEX('Import Data Entry'!$B$17:$B$50,24),"")</f>
        <v/>
      </c>
      <c r="C28" s="14">
        <f>IFERROR(INDEX('Import Data Entry'!$C$17:$C$50,24),"")</f>
        <v/>
      </c>
      <c r="D28" s="13">
        <f>IF(B28="","",B28*C28)</f>
        <v/>
      </c>
      <c r="E28" s="15">
        <f>IFERROR(INDEX('Import Data Entry'!$D$17:$D$50,24),"")</f>
        <v/>
      </c>
      <c r="F28" s="16">
        <f>IF(D28="","",D28/$D$41)</f>
        <v/>
      </c>
      <c r="G28" s="17">
        <f>IF(F28="","",F28*$B$44)</f>
        <v/>
      </c>
      <c r="H28" s="17">
        <f>IF(D28="","",G28/D28)</f>
        <v/>
      </c>
      <c r="I28" s="17">
        <f>IF(C28="","",G28/C28)</f>
        <v/>
      </c>
    </row>
    <row r="29">
      <c r="A29">
        <f>IFERROR(INDEX('Import Data Entry'!$A$17:$A$50,25),"")</f>
        <v/>
      </c>
      <c r="B29" s="13">
        <f>IFERROR(INDEX('Import Data Entry'!$B$17:$B$50,25),"")</f>
        <v/>
      </c>
      <c r="C29" s="14">
        <f>IFERROR(INDEX('Import Data Entry'!$C$17:$C$50,25),"")</f>
        <v/>
      </c>
      <c r="D29" s="13">
        <f>IF(B29="","",B29*C29)</f>
        <v/>
      </c>
      <c r="E29" s="15">
        <f>IFERROR(INDEX('Import Data Entry'!$D$17:$D$50,25),"")</f>
        <v/>
      </c>
      <c r="F29" s="16">
        <f>IF(D29="","",D29/$D$41)</f>
        <v/>
      </c>
      <c r="G29" s="17">
        <f>IF(F29="","",F29*$B$44)</f>
        <v/>
      </c>
      <c r="H29" s="17">
        <f>IF(D29="","",G29/D29)</f>
        <v/>
      </c>
      <c r="I29" s="17">
        <f>IF(C29="","",G29/C29)</f>
        <v/>
      </c>
    </row>
    <row r="30">
      <c r="A30">
        <f>IFERROR(INDEX('Import Data Entry'!$A$17:$A$50,26),"")</f>
        <v/>
      </c>
      <c r="B30" s="13">
        <f>IFERROR(INDEX('Import Data Entry'!$B$17:$B$50,26),"")</f>
        <v/>
      </c>
      <c r="C30" s="14">
        <f>IFERROR(INDEX('Import Data Entry'!$C$17:$C$50,26),"")</f>
        <v/>
      </c>
      <c r="D30" s="13">
        <f>IF(B30="","",B30*C30)</f>
        <v/>
      </c>
      <c r="E30" s="15">
        <f>IFERROR(INDEX('Import Data Entry'!$D$17:$D$50,26),"")</f>
        <v/>
      </c>
      <c r="F30" s="16">
        <f>IF(D30="","",D30/$D$41)</f>
        <v/>
      </c>
      <c r="G30" s="17">
        <f>IF(F30="","",F30*$B$44)</f>
        <v/>
      </c>
      <c r="H30" s="17">
        <f>IF(D30="","",G30/D30)</f>
        <v/>
      </c>
      <c r="I30" s="17">
        <f>IF(C30="","",G30/C30)</f>
        <v/>
      </c>
    </row>
    <row r="31">
      <c r="A31">
        <f>IFERROR(INDEX('Import Data Entry'!$A$17:$A$50,27),"")</f>
        <v/>
      </c>
      <c r="B31" s="13">
        <f>IFERROR(INDEX('Import Data Entry'!$B$17:$B$50,27),"")</f>
        <v/>
      </c>
      <c r="C31" s="14">
        <f>IFERROR(INDEX('Import Data Entry'!$C$17:$C$50,27),"")</f>
        <v/>
      </c>
      <c r="D31" s="13">
        <f>IF(B31="","",B31*C31)</f>
        <v/>
      </c>
      <c r="E31" s="15">
        <f>IFERROR(INDEX('Import Data Entry'!$D$17:$D$50,27),"")</f>
        <v/>
      </c>
      <c r="F31" s="16">
        <f>IF(D31="","",D31/$D$41)</f>
        <v/>
      </c>
      <c r="G31" s="17">
        <f>IF(F31="","",F31*$B$44)</f>
        <v/>
      </c>
      <c r="H31" s="17">
        <f>IF(D31="","",G31/D31)</f>
        <v/>
      </c>
      <c r="I31" s="17">
        <f>IF(C31="","",G31/C31)</f>
        <v/>
      </c>
    </row>
    <row r="32">
      <c r="A32">
        <f>IFERROR(INDEX('Import Data Entry'!$A$17:$A$50,28),"")</f>
        <v/>
      </c>
      <c r="B32" s="13">
        <f>IFERROR(INDEX('Import Data Entry'!$B$17:$B$50,28),"")</f>
        <v/>
      </c>
      <c r="C32" s="14">
        <f>IFERROR(INDEX('Import Data Entry'!$C$17:$C$50,28),"")</f>
        <v/>
      </c>
      <c r="D32" s="13">
        <f>IF(B32="","",B32*C32)</f>
        <v/>
      </c>
      <c r="E32" s="15">
        <f>IFERROR(INDEX('Import Data Entry'!$D$17:$D$50,28),"")</f>
        <v/>
      </c>
      <c r="F32" s="16">
        <f>IF(D32="","",D32/$D$41)</f>
        <v/>
      </c>
      <c r="G32" s="17">
        <f>IF(F32="","",F32*$B$44)</f>
        <v/>
      </c>
      <c r="H32" s="17">
        <f>IF(D32="","",G32/D32)</f>
        <v/>
      </c>
      <c r="I32" s="17">
        <f>IF(C32="","",G32/C32)</f>
        <v/>
      </c>
    </row>
    <row r="33">
      <c r="A33">
        <f>IFERROR(INDEX('Import Data Entry'!$A$17:$A$50,29),"")</f>
        <v/>
      </c>
      <c r="B33" s="13">
        <f>IFERROR(INDEX('Import Data Entry'!$B$17:$B$50,29),"")</f>
        <v/>
      </c>
      <c r="C33" s="14">
        <f>IFERROR(INDEX('Import Data Entry'!$C$17:$C$50,29),"")</f>
        <v/>
      </c>
      <c r="D33" s="13">
        <f>IF(B33="","",B33*C33)</f>
        <v/>
      </c>
      <c r="E33" s="15">
        <f>IFERROR(INDEX('Import Data Entry'!$D$17:$D$50,29),"")</f>
        <v/>
      </c>
      <c r="F33" s="16">
        <f>IF(D33="","",D33/$D$41)</f>
        <v/>
      </c>
      <c r="G33" s="17">
        <f>IF(F33="","",F33*$B$44)</f>
        <v/>
      </c>
      <c r="H33" s="17">
        <f>IF(D33="","",G33/D33)</f>
        <v/>
      </c>
      <c r="I33" s="17">
        <f>IF(C33="","",G33/C33)</f>
        <v/>
      </c>
    </row>
    <row r="34">
      <c r="A34">
        <f>IFERROR(INDEX('Import Data Entry'!$A$17:$A$50,30),"")</f>
        <v/>
      </c>
      <c r="B34" s="13">
        <f>IFERROR(INDEX('Import Data Entry'!$B$17:$B$50,30),"")</f>
        <v/>
      </c>
      <c r="C34" s="14">
        <f>IFERROR(INDEX('Import Data Entry'!$C$17:$C$50,30),"")</f>
        <v/>
      </c>
      <c r="D34" s="13">
        <f>IF(B34="","",B34*C34)</f>
        <v/>
      </c>
      <c r="E34" s="15">
        <f>IFERROR(INDEX('Import Data Entry'!$D$17:$D$50,30),"")</f>
        <v/>
      </c>
      <c r="F34" s="16">
        <f>IF(D34="","",D34/$D$41)</f>
        <v/>
      </c>
      <c r="G34" s="17">
        <f>IF(F34="","",F34*$B$44)</f>
        <v/>
      </c>
      <c r="H34" s="17">
        <f>IF(D34="","",G34/D34)</f>
        <v/>
      </c>
      <c r="I34" s="17">
        <f>IF(C34="","",G34/C34)</f>
        <v/>
      </c>
    </row>
    <row r="35">
      <c r="A35">
        <f>IFERROR(INDEX('Import Data Entry'!$A$17:$A$50,31),"")</f>
        <v/>
      </c>
      <c r="B35" s="13">
        <f>IFERROR(INDEX('Import Data Entry'!$B$17:$B$50,31),"")</f>
        <v/>
      </c>
      <c r="C35" s="14">
        <f>IFERROR(INDEX('Import Data Entry'!$C$17:$C$50,31),"")</f>
        <v/>
      </c>
      <c r="D35" s="13">
        <f>IF(B35="","",B35*C35)</f>
        <v/>
      </c>
      <c r="E35" s="15">
        <f>IFERROR(INDEX('Import Data Entry'!$D$17:$D$50,31),"")</f>
        <v/>
      </c>
      <c r="F35" s="16">
        <f>IF(D35="","",D35/$D$41)</f>
        <v/>
      </c>
      <c r="G35" s="17">
        <f>IF(F35="","",F35*$B$44)</f>
        <v/>
      </c>
      <c r="H35" s="17">
        <f>IF(D35="","",G35/D35)</f>
        <v/>
      </c>
      <c r="I35" s="17">
        <f>IF(C35="","",G35/C35)</f>
        <v/>
      </c>
    </row>
    <row r="36">
      <c r="A36">
        <f>IFERROR(INDEX('Import Data Entry'!$A$17:$A$50,32),"")</f>
        <v/>
      </c>
      <c r="B36" s="13">
        <f>IFERROR(INDEX('Import Data Entry'!$B$17:$B$50,32),"")</f>
        <v/>
      </c>
      <c r="C36" s="14">
        <f>IFERROR(INDEX('Import Data Entry'!$C$17:$C$50,32),"")</f>
        <v/>
      </c>
      <c r="D36" s="13">
        <f>IF(B36="","",B36*C36)</f>
        <v/>
      </c>
      <c r="E36" s="15">
        <f>IFERROR(INDEX('Import Data Entry'!$D$17:$D$50,32),"")</f>
        <v/>
      </c>
      <c r="F36" s="16">
        <f>IF(D36="","",D36/$D$41)</f>
        <v/>
      </c>
      <c r="G36" s="17">
        <f>IF(F36="","",F36*$B$44)</f>
        <v/>
      </c>
      <c r="H36" s="17">
        <f>IF(D36="","",G36/D36)</f>
        <v/>
      </c>
      <c r="I36" s="17">
        <f>IF(C36="","",G36/C36)</f>
        <v/>
      </c>
    </row>
    <row r="37">
      <c r="A37">
        <f>IFERROR(INDEX('Import Data Entry'!$A$17:$A$50,33),"")</f>
        <v/>
      </c>
      <c r="B37" s="13">
        <f>IFERROR(INDEX('Import Data Entry'!$B$17:$B$50,33),"")</f>
        <v/>
      </c>
      <c r="C37" s="14">
        <f>IFERROR(INDEX('Import Data Entry'!$C$17:$C$50,33),"")</f>
        <v/>
      </c>
      <c r="D37" s="13">
        <f>IF(B37="","",B37*C37)</f>
        <v/>
      </c>
      <c r="E37" s="15">
        <f>IFERROR(INDEX('Import Data Entry'!$D$17:$D$50,33),"")</f>
        <v/>
      </c>
      <c r="F37" s="16">
        <f>IF(D37="","",D37/$D$41)</f>
        <v/>
      </c>
      <c r="G37" s="17">
        <f>IF(F37="","",F37*$B$44)</f>
        <v/>
      </c>
      <c r="H37" s="17">
        <f>IF(D37="","",G37/D37)</f>
        <v/>
      </c>
      <c r="I37" s="17">
        <f>IF(C37="","",G37/C37)</f>
        <v/>
      </c>
    </row>
    <row r="38">
      <c r="A38">
        <f>IFERROR(INDEX('Import Data Entry'!$A$17:$A$50,34),"")</f>
        <v/>
      </c>
      <c r="B38" s="13">
        <f>IFERROR(INDEX('Import Data Entry'!$B$17:$B$50,34),"")</f>
        <v/>
      </c>
      <c r="C38" s="14">
        <f>IFERROR(INDEX('Import Data Entry'!$C$17:$C$50,34),"")</f>
        <v/>
      </c>
      <c r="D38" s="13">
        <f>IF(B38="","",B38*C38)</f>
        <v/>
      </c>
      <c r="E38" s="15">
        <f>IFERROR(INDEX('Import Data Entry'!$D$17:$D$50,34),"")</f>
        <v/>
      </c>
      <c r="F38" s="16">
        <f>IF(D38="","",D38/$D$41)</f>
        <v/>
      </c>
      <c r="G38" s="17">
        <f>IF(F38="","",F38*$B$44)</f>
        <v/>
      </c>
      <c r="H38" s="17">
        <f>IF(D38="","",G38/D38)</f>
        <v/>
      </c>
      <c r="I38" s="17">
        <f>IF(C38="","",G38/C38)</f>
        <v/>
      </c>
    </row>
    <row r="39">
      <c r="A39">
        <f>IFERROR(INDEX('Import Data Entry'!$A$17:$A$50,35),"")</f>
        <v/>
      </c>
      <c r="B39" s="13">
        <f>IFERROR(INDEX('Import Data Entry'!$B$17:$B$50,35),"")</f>
        <v/>
      </c>
      <c r="C39" s="14">
        <f>IFERROR(INDEX('Import Data Entry'!$C$17:$C$50,35),"")</f>
        <v/>
      </c>
      <c r="D39" s="13">
        <f>IF(B39="","",B39*C39)</f>
        <v/>
      </c>
      <c r="E39" s="15">
        <f>IFERROR(INDEX('Import Data Entry'!$D$17:$D$50,35),"")</f>
        <v/>
      </c>
      <c r="F39" s="16">
        <f>IF(D39="","",D39/$D$41)</f>
        <v/>
      </c>
      <c r="G39" s="17">
        <f>IF(F39="","",F39*$B$44)</f>
        <v/>
      </c>
      <c r="H39" s="17">
        <f>IF(D39="","",G39/D39)</f>
        <v/>
      </c>
      <c r="I39" s="17">
        <f>IF(C39="","",G39/C39)</f>
        <v/>
      </c>
    </row>
    <row r="40"/>
    <row r="41">
      <c r="A41" s="2" t="inlineStr">
        <is>
          <t>Totals</t>
        </is>
      </c>
      <c r="C41" s="18">
        <f>SUM(C5:C39)</f>
        <v/>
      </c>
      <c r="D41" s="19">
        <f>SUM(D5:D39)</f>
        <v/>
      </c>
      <c r="E41" s="20">
        <f>SUM(E5:E39)</f>
        <v/>
      </c>
      <c r="G41" s="21">
        <f>SUM(G5:G39)</f>
        <v/>
      </c>
    </row>
    <row r="42">
      <c r="A42" t="inlineStr">
        <is>
          <t>Totals</t>
        </is>
      </c>
    </row>
    <row r="43"/>
    <row r="44">
      <c r="A44" t="inlineStr">
        <is>
          <t>Shipment cost</t>
        </is>
      </c>
      <c r="B44" s="8">
        <f>'Import Data Entry'!B13</f>
        <v/>
      </c>
      <c r="C44" t="inlineStr">
        <is>
          <t>Total # of Skids:</t>
        </is>
      </c>
      <c r="D44" s="20">
        <f>'Import Data Entry'!B11</f>
        <v/>
      </c>
    </row>
    <row r="45"/>
    <row r="46">
      <c r="A46" s="2" t="inlineStr">
        <is>
          <t>Total weight(KGS)</t>
        </is>
      </c>
      <c r="B46" t="inlineStr">
        <is>
          <t>Total weight(KGS)</t>
        </is>
      </c>
      <c r="C46" t="inlineStr">
        <is>
          <t>Shipment weight KGS:</t>
        </is>
      </c>
      <c r="D46" s="22">
        <f>'Import Data Entry'!B10</f>
        <v/>
      </c>
    </row>
    <row r="47">
      <c r="C47" t="inlineStr">
        <is>
          <t>Vessel name:</t>
        </is>
      </c>
      <c r="D47" s="2">
        <f>'Import Data Entry'!B5</f>
        <v/>
      </c>
    </row>
    <row r="48">
      <c r="C48" t="inlineStr">
        <is>
          <t>Entry Date:</t>
        </is>
      </c>
      <c r="D48" s="23">
        <f>'Import Data Entry'!B6</f>
        <v/>
      </c>
    </row>
    <row r="50">
      <c r="A50" s="24" t="inlineStr">
        <is>
          <t>AUTO-CALCULATED: All data pulls from Import Data Entry sheet. Review calculations and copy Cost/M values to Historical Log when complete.</t>
        </is>
      </c>
    </row>
    <row r="51"/>
    <row r="52"/>
  </sheetData>
  <mergeCells count="2">
    <mergeCell ref="A1:I1"/>
    <mergeCell ref="A50:I52"/>
  </mergeCells>
  <printOptions horizontalCentered="1"/>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4" customWidth="1" min="3" max="3"/>
    <col width="16" customWidth="1" min="4" max="4"/>
  </cols>
  <sheetData>
    <row r="1">
      <c r="A1" s="9" t="inlineStr">
        <is>
          <t>Part #</t>
        </is>
      </c>
      <c r="B1" s="9" t="inlineStr">
        <is>
          <t>Freight Cost/M</t>
        </is>
      </c>
      <c r="C1" s="9" t="inlineStr">
        <is>
          <t>Date</t>
        </is>
      </c>
      <c r="D1" s="9" t="inlineStr">
        <is>
          <t>Net Weight</t>
        </is>
      </c>
    </row>
    <row r="2">
      <c r="A2" s="25" t="inlineStr">
        <is>
          <t>→ To add current shipment data, copy Cost/M values from Shipment Calculation tab and paste below</t>
        </is>
      </c>
    </row>
  </sheetData>
  <mergeCells count="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20" customWidth="1" min="3" max="3"/>
    <col width="14" customWidth="1" min="4" max="4"/>
    <col width="25" customWidth="1" min="5" max="5"/>
  </cols>
  <sheetData>
    <row r="1">
      <c r="A1" s="1" t="inlineStr">
        <is>
          <t>ERP IMPORT - COPY TO CLIPBOARD</t>
        </is>
      </c>
    </row>
    <row r="2">
      <c r="A2" s="9" t="inlineStr">
        <is>
          <t>Part_Number</t>
        </is>
      </c>
      <c r="B2" s="9" t="inlineStr">
        <is>
          <t>DRM_Code</t>
        </is>
      </c>
      <c r="C2" s="9" t="inlineStr">
        <is>
          <t>Freight_Cost_Per_M</t>
        </is>
      </c>
      <c r="D2" s="9" t="inlineStr">
        <is>
          <t>Entry_Date</t>
        </is>
      </c>
      <c r="E2" s="9" t="inlineStr">
        <is>
          <t>Vessel</t>
        </is>
      </c>
    </row>
    <row r="3">
      <c r="A3">
        <f>'Shipment Calculation'!A5</f>
        <v/>
      </c>
      <c r="B3" s="3" t="inlineStr">
        <is>
          <t>18735</t>
        </is>
      </c>
      <c r="C3" s="26">
        <f>'Shipment Calculation'!I5</f>
        <v/>
      </c>
      <c r="D3" s="27">
        <f>'Import Data Entry'!B6</f>
        <v/>
      </c>
      <c r="E3">
        <f>'Import Data Entry'!B5</f>
        <v/>
      </c>
    </row>
    <row r="4">
      <c r="A4">
        <f>'Shipment Calculation'!A6</f>
        <v/>
      </c>
      <c r="B4" s="3" t="inlineStr">
        <is>
          <t>18732</t>
        </is>
      </c>
      <c r="C4" s="26">
        <f>'Shipment Calculation'!I6</f>
        <v/>
      </c>
      <c r="D4" s="27">
        <f>'Import Data Entry'!B6</f>
        <v/>
      </c>
      <c r="E4">
        <f>'Import Data Entry'!B5</f>
        <v/>
      </c>
    </row>
    <row r="5">
      <c r="A5">
        <f>'Shipment Calculation'!A7</f>
        <v/>
      </c>
      <c r="B5" s="3" t="inlineStr">
        <is>
          <t>18736</t>
        </is>
      </c>
      <c r="C5" s="26">
        <f>'Shipment Calculation'!I7</f>
        <v/>
      </c>
      <c r="D5" s="27">
        <f>'Import Data Entry'!B6</f>
        <v/>
      </c>
      <c r="E5">
        <f>'Import Data Entry'!B5</f>
        <v/>
      </c>
    </row>
    <row r="6">
      <c r="A6">
        <f>'Shipment Calculation'!A8</f>
        <v/>
      </c>
      <c r="B6" s="3" t="inlineStr">
        <is>
          <t>18734</t>
        </is>
      </c>
      <c r="C6" s="26">
        <f>'Shipment Calculation'!I8</f>
        <v/>
      </c>
      <c r="D6" s="27">
        <f>'Import Data Entry'!B6</f>
        <v/>
      </c>
      <c r="E6">
        <f>'Import Data Entry'!B5</f>
        <v/>
      </c>
    </row>
    <row r="7">
      <c r="A7">
        <f>'Shipment Calculation'!A9</f>
        <v/>
      </c>
      <c r="B7" s="3" t="n"/>
      <c r="C7" s="26">
        <f>'Shipment Calculation'!I9</f>
        <v/>
      </c>
      <c r="D7" s="27">
        <f>'Import Data Entry'!B6</f>
        <v/>
      </c>
      <c r="E7">
        <f>'Import Data Entry'!B5</f>
        <v/>
      </c>
    </row>
    <row r="8">
      <c r="A8">
        <f>'Shipment Calculation'!A10</f>
        <v/>
      </c>
      <c r="B8" s="3" t="n"/>
      <c r="C8" s="26">
        <f>'Shipment Calculation'!I10</f>
        <v/>
      </c>
      <c r="D8" s="27">
        <f>'Import Data Entry'!B6</f>
        <v/>
      </c>
      <c r="E8">
        <f>'Import Data Entry'!B5</f>
        <v/>
      </c>
    </row>
    <row r="9">
      <c r="A9">
        <f>'Shipment Calculation'!A11</f>
        <v/>
      </c>
      <c r="B9" s="3" t="n"/>
      <c r="C9" s="26">
        <f>'Shipment Calculation'!I11</f>
        <v/>
      </c>
      <c r="D9" s="27">
        <f>'Import Data Entry'!B6</f>
        <v/>
      </c>
      <c r="E9">
        <f>'Import Data Entry'!B5</f>
        <v/>
      </c>
    </row>
    <row r="10">
      <c r="A10">
        <f>'Shipment Calculation'!A12</f>
        <v/>
      </c>
      <c r="B10" s="3" t="n"/>
      <c r="C10" s="26">
        <f>'Shipment Calculation'!I12</f>
        <v/>
      </c>
      <c r="D10" s="27">
        <f>'Import Data Entry'!B6</f>
        <v/>
      </c>
      <c r="E10">
        <f>'Import Data Entry'!B5</f>
        <v/>
      </c>
    </row>
    <row r="11">
      <c r="A11">
        <f>'Shipment Calculation'!A13</f>
        <v/>
      </c>
      <c r="B11" s="3" t="n"/>
      <c r="C11" s="26">
        <f>'Shipment Calculation'!I13</f>
        <v/>
      </c>
      <c r="D11" s="27">
        <f>'Import Data Entry'!B6</f>
        <v/>
      </c>
      <c r="E11">
        <f>'Import Data Entry'!B5</f>
        <v/>
      </c>
    </row>
    <row r="12">
      <c r="A12">
        <f>'Shipment Calculation'!A14</f>
        <v/>
      </c>
      <c r="B12" s="3" t="n"/>
      <c r="C12" s="26">
        <f>'Shipment Calculation'!I14</f>
        <v/>
      </c>
      <c r="D12" s="27">
        <f>'Import Data Entry'!B6</f>
        <v/>
      </c>
      <c r="E12">
        <f>'Import Data Entry'!B5</f>
        <v/>
      </c>
    </row>
    <row r="13">
      <c r="A13">
        <f>'Shipment Calculation'!A15</f>
        <v/>
      </c>
      <c r="B13" s="3" t="n"/>
      <c r="C13" s="26">
        <f>'Shipment Calculation'!I15</f>
        <v/>
      </c>
      <c r="D13" s="27">
        <f>'Import Data Entry'!B6</f>
        <v/>
      </c>
      <c r="E13">
        <f>'Import Data Entry'!B5</f>
        <v/>
      </c>
    </row>
    <row r="14">
      <c r="A14">
        <f>'Shipment Calculation'!A16</f>
        <v/>
      </c>
      <c r="B14" s="3" t="n"/>
      <c r="C14" s="26">
        <f>'Shipment Calculation'!I16</f>
        <v/>
      </c>
      <c r="D14" s="27">
        <f>'Import Data Entry'!B6</f>
        <v/>
      </c>
      <c r="E14">
        <f>'Import Data Entry'!B5</f>
        <v/>
      </c>
    </row>
    <row r="15">
      <c r="A15">
        <f>'Shipment Calculation'!A17</f>
        <v/>
      </c>
      <c r="B15" s="3" t="n"/>
      <c r="C15" s="26">
        <f>'Shipment Calculation'!I17</f>
        <v/>
      </c>
      <c r="D15" s="27">
        <f>'Import Data Entry'!B6</f>
        <v/>
      </c>
      <c r="E15">
        <f>'Import Data Entry'!B5</f>
        <v/>
      </c>
    </row>
    <row r="16">
      <c r="A16">
        <f>'Shipment Calculation'!A18</f>
        <v/>
      </c>
      <c r="B16" s="3" t="n"/>
      <c r="C16" s="26">
        <f>'Shipment Calculation'!I18</f>
        <v/>
      </c>
      <c r="D16" s="27">
        <f>'Import Data Entry'!B6</f>
        <v/>
      </c>
      <c r="E16">
        <f>'Import Data Entry'!B5</f>
        <v/>
      </c>
    </row>
    <row r="17">
      <c r="A17">
        <f>'Shipment Calculation'!A19</f>
        <v/>
      </c>
      <c r="B17" s="3" t="n"/>
      <c r="C17" s="26">
        <f>'Shipment Calculation'!I19</f>
        <v/>
      </c>
      <c r="D17" s="27">
        <f>'Import Data Entry'!B6</f>
        <v/>
      </c>
      <c r="E17">
        <f>'Import Data Entry'!B5</f>
        <v/>
      </c>
    </row>
    <row r="18">
      <c r="A18">
        <f>'Shipment Calculation'!A20</f>
        <v/>
      </c>
      <c r="B18" s="3" t="n"/>
      <c r="C18" s="26">
        <f>'Shipment Calculation'!I20</f>
        <v/>
      </c>
      <c r="D18" s="27">
        <f>'Import Data Entry'!B6</f>
        <v/>
      </c>
      <c r="E18">
        <f>'Import Data Entry'!B5</f>
        <v/>
      </c>
    </row>
    <row r="19">
      <c r="A19">
        <f>'Shipment Calculation'!A21</f>
        <v/>
      </c>
      <c r="B19" s="3" t="n"/>
      <c r="C19" s="26">
        <f>'Shipment Calculation'!I21</f>
        <v/>
      </c>
      <c r="D19" s="27">
        <f>'Import Data Entry'!B6</f>
        <v/>
      </c>
      <c r="E19">
        <f>'Import Data Entry'!B5</f>
        <v/>
      </c>
    </row>
    <row r="20">
      <c r="A20">
        <f>'Shipment Calculation'!A22</f>
        <v/>
      </c>
      <c r="B20" s="3" t="n"/>
      <c r="C20" s="26">
        <f>'Shipment Calculation'!I22</f>
        <v/>
      </c>
      <c r="D20" s="27">
        <f>'Import Data Entry'!B6</f>
        <v/>
      </c>
      <c r="E20">
        <f>'Import Data Entry'!B5</f>
        <v/>
      </c>
    </row>
    <row r="21">
      <c r="A21">
        <f>'Shipment Calculation'!A23</f>
        <v/>
      </c>
      <c r="B21" s="3" t="n"/>
      <c r="C21" s="26">
        <f>'Shipment Calculation'!I23</f>
        <v/>
      </c>
      <c r="D21" s="27">
        <f>'Import Data Entry'!B6</f>
        <v/>
      </c>
      <c r="E21">
        <f>'Import Data Entry'!B5</f>
        <v/>
      </c>
    </row>
    <row r="22">
      <c r="A22">
        <f>'Shipment Calculation'!A24</f>
        <v/>
      </c>
      <c r="B22" s="3" t="n"/>
      <c r="C22" s="26">
        <f>'Shipment Calculation'!I24</f>
        <v/>
      </c>
      <c r="D22" s="27">
        <f>'Import Data Entry'!B6</f>
        <v/>
      </c>
      <c r="E22">
        <f>'Import Data Entry'!B5</f>
        <v/>
      </c>
    </row>
    <row r="23">
      <c r="A23">
        <f>'Shipment Calculation'!A25</f>
        <v/>
      </c>
      <c r="B23" s="3" t="n"/>
      <c r="C23" s="26">
        <f>'Shipment Calculation'!I25</f>
        <v/>
      </c>
      <c r="D23" s="27">
        <f>'Import Data Entry'!B6</f>
        <v/>
      </c>
      <c r="E23">
        <f>'Import Data Entry'!B5</f>
        <v/>
      </c>
    </row>
    <row r="24">
      <c r="A24">
        <f>'Shipment Calculation'!A26</f>
        <v/>
      </c>
      <c r="B24" s="3" t="n"/>
      <c r="C24" s="26">
        <f>'Shipment Calculation'!I26</f>
        <v/>
      </c>
      <c r="D24" s="27">
        <f>'Import Data Entry'!B6</f>
        <v/>
      </c>
      <c r="E24">
        <f>'Import Data Entry'!B5</f>
        <v/>
      </c>
    </row>
    <row r="25">
      <c r="A25">
        <f>'Shipment Calculation'!A27</f>
        <v/>
      </c>
      <c r="B25" s="3" t="n"/>
      <c r="C25" s="26">
        <f>'Shipment Calculation'!I27</f>
        <v/>
      </c>
      <c r="D25" s="27">
        <f>'Import Data Entry'!B6</f>
        <v/>
      </c>
      <c r="E25">
        <f>'Import Data Entry'!B5</f>
        <v/>
      </c>
    </row>
    <row r="26">
      <c r="A26">
        <f>'Shipment Calculation'!A28</f>
        <v/>
      </c>
      <c r="B26" s="3" t="n"/>
      <c r="C26" s="26">
        <f>'Shipment Calculation'!I28</f>
        <v/>
      </c>
      <c r="D26" s="27">
        <f>'Import Data Entry'!B6</f>
        <v/>
      </c>
      <c r="E26">
        <f>'Import Data Entry'!B5</f>
        <v/>
      </c>
    </row>
    <row r="27">
      <c r="A27">
        <f>'Shipment Calculation'!A29</f>
        <v/>
      </c>
      <c r="B27" s="3" t="n"/>
      <c r="C27" s="26">
        <f>'Shipment Calculation'!I29</f>
        <v/>
      </c>
      <c r="D27" s="27">
        <f>'Import Data Entry'!B6</f>
        <v/>
      </c>
      <c r="E27">
        <f>'Import Data Entry'!B5</f>
        <v/>
      </c>
    </row>
    <row r="28">
      <c r="A28">
        <f>'Shipment Calculation'!A30</f>
        <v/>
      </c>
      <c r="B28" s="3" t="n"/>
      <c r="C28" s="26">
        <f>'Shipment Calculation'!I30</f>
        <v/>
      </c>
      <c r="D28" s="27">
        <f>'Import Data Entry'!B6</f>
        <v/>
      </c>
      <c r="E28">
        <f>'Import Data Entry'!B5</f>
        <v/>
      </c>
    </row>
    <row r="29">
      <c r="A29">
        <f>'Shipment Calculation'!A31</f>
        <v/>
      </c>
      <c r="B29" s="3" t="n"/>
      <c r="C29" s="26">
        <f>'Shipment Calculation'!I31</f>
        <v/>
      </c>
      <c r="D29" s="27">
        <f>'Import Data Entry'!B6</f>
        <v/>
      </c>
      <c r="E29">
        <f>'Import Data Entry'!B5</f>
        <v/>
      </c>
    </row>
    <row r="30">
      <c r="A30">
        <f>'Shipment Calculation'!A32</f>
        <v/>
      </c>
      <c r="B30" s="3" t="n"/>
      <c r="C30" s="26">
        <f>'Shipment Calculation'!I32</f>
        <v/>
      </c>
      <c r="D30" s="27">
        <f>'Import Data Entry'!B6</f>
        <v/>
      </c>
      <c r="E30">
        <f>'Import Data Entry'!B5</f>
        <v/>
      </c>
    </row>
    <row r="31">
      <c r="A31">
        <f>'Shipment Calculation'!A33</f>
        <v/>
      </c>
      <c r="B31" s="3" t="n"/>
      <c r="C31" s="26">
        <f>'Shipment Calculation'!I33</f>
        <v/>
      </c>
      <c r="D31" s="27">
        <f>'Import Data Entry'!B6</f>
        <v/>
      </c>
      <c r="E31">
        <f>'Import Data Entry'!B5</f>
        <v/>
      </c>
    </row>
    <row r="32">
      <c r="A32">
        <f>'Shipment Calculation'!A34</f>
        <v/>
      </c>
      <c r="B32" s="3" t="n"/>
      <c r="C32" s="26">
        <f>'Shipment Calculation'!I34</f>
        <v/>
      </c>
      <c r="D32" s="27">
        <f>'Import Data Entry'!B6</f>
        <v/>
      </c>
      <c r="E32">
        <f>'Import Data Entry'!B5</f>
        <v/>
      </c>
    </row>
    <row r="33">
      <c r="A33">
        <f>'Shipment Calculation'!A35</f>
        <v/>
      </c>
      <c r="B33" s="3" t="n"/>
      <c r="C33" s="26">
        <f>'Shipment Calculation'!I35</f>
        <v/>
      </c>
      <c r="D33" s="27">
        <f>'Import Data Entry'!B6</f>
        <v/>
      </c>
      <c r="E33">
        <f>'Import Data Entry'!B5</f>
        <v/>
      </c>
    </row>
    <row r="34">
      <c r="A34">
        <f>'Shipment Calculation'!A36</f>
        <v/>
      </c>
      <c r="B34" s="3" t="n"/>
      <c r="C34" s="26">
        <f>'Shipment Calculation'!I36</f>
        <v/>
      </c>
      <c r="D34" s="27">
        <f>'Import Data Entry'!B6</f>
        <v/>
      </c>
      <c r="E34">
        <f>'Import Data Entry'!B5</f>
        <v/>
      </c>
    </row>
    <row r="35">
      <c r="A35">
        <f>'Shipment Calculation'!A37</f>
        <v/>
      </c>
      <c r="B35" s="3" t="n"/>
      <c r="C35" s="26">
        <f>'Shipment Calculation'!I37</f>
        <v/>
      </c>
      <c r="D35" s="27">
        <f>'Import Data Entry'!B6</f>
        <v/>
      </c>
      <c r="E35">
        <f>'Import Data Entry'!B5</f>
        <v/>
      </c>
    </row>
    <row r="36">
      <c r="A36">
        <f>'Shipment Calculation'!A38</f>
        <v/>
      </c>
      <c r="B36" s="3" t="n"/>
      <c r="C36" s="26">
        <f>'Shipment Calculation'!I38</f>
        <v/>
      </c>
      <c r="D36" s="27">
        <f>'Import Data Entry'!B6</f>
        <v/>
      </c>
      <c r="E36">
        <f>'Import Data Entry'!B5</f>
        <v/>
      </c>
    </row>
    <row r="37">
      <c r="A37">
        <f>'Shipment Calculation'!A39</f>
        <v/>
      </c>
      <c r="B37" s="3" t="n"/>
      <c r="C37" s="26">
        <f>'Shipment Calculation'!I39</f>
        <v/>
      </c>
      <c r="D37" s="27">
        <f>'Import Data Entry'!B6</f>
        <v/>
      </c>
      <c r="E37">
        <f>'Import Data Entry'!B5</f>
        <v/>
      </c>
    </row>
  </sheetData>
  <autoFilter ref="A2:E37"/>
  <mergeCells count="1">
    <mergeCell ref="A1:E1"/>
  </mergeCells>
  <printOptions horizontalCentered="1"/>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Date Reference Matrix</t>
        </is>
      </c>
    </row>
    <row r="2">
      <c r="A2" t="inlineStr">
        <is>
          <t>Part #</t>
        </is>
      </c>
      <c r="B2" t="inlineStr">
        <is>
          <t>Cost History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2026-01-06T16:12:43Z</dcterms:created>
  <dcterms:modified xsi:type="dcterms:W3CDTF">2026-01-06T16:12:43Z</dcterms:modified>
</cp:coreProperties>
</file>